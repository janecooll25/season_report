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xmlns:r="http://schemas.openxmlformats.org/officeDocument/2006/relationships" name="FAQ по заполнению" sheetId="1" state="visible" r:id="rId1"/>
    <sheet xmlns:r="http://schemas.openxmlformats.org/officeDocument/2006/relationships" name="Реализованные билеты" sheetId="2" state="visible" r:id="rId2"/>
    <sheet xmlns:r="http://schemas.openxmlformats.org/officeDocument/2006/relationships" name="Доход от реализации билетов" sheetId="3" state="visible" r:id="rId3"/>
    <sheet xmlns:r="http://schemas.openxmlformats.org/officeDocument/2006/relationships" name="Агенты и онлайн продажи" sheetId="4" state="visible" r:id="rId4"/>
    <sheet xmlns:r="http://schemas.openxmlformats.org/officeDocument/2006/relationships" name="Расчеты" sheetId="5" state="visible" r:id="rId5"/>
  </sheets>
  <definedNames>
    <definedName name="_xlnm.Print_Area" localSheetId="1">'Реализованные билеты'!$A$1:$M$46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%"/>
    <numFmt numFmtId="166" formatCode="#,##0&quot; ₽&quot;"/>
  </numFmts>
  <fonts count="17">
    <font>
      <name val="Calibri"/>
      <charset val="204"/>
      <family val="2"/>
      <color theme="1"/>
      <sz val="12"/>
      <scheme val="minor"/>
    </font>
    <font>
      <name val="Calibri"/>
      <charset val="204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charset val="204"/>
      <family val="2"/>
      <sz val="12"/>
    </font>
    <font>
      <name val="Calibri (Основной текст)"/>
      <charset val="204"/>
      <b val="1"/>
      <color rgb="FF0070C0"/>
      <sz val="16"/>
    </font>
    <font>
      <name val="Calibri (Основной текст)"/>
      <charset val="204"/>
      <color theme="1"/>
      <sz val="16"/>
    </font>
    <font>
      <name val="Calibri (Основной текст)"/>
      <charset val="204"/>
      <b val="1"/>
      <color theme="1"/>
      <sz val="16"/>
    </font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2"/>
    </font>
    <font>
      <name val="Arial"/>
      <b val="1"/>
    </font>
    <font>
      <name val="Arial"/>
      <b val="1"/>
      <color rgb="000000FF"/>
    </font>
    <font>
      <name val="Arial"/>
      <b val="1"/>
      <sz val="13"/>
    </font>
    <font>
      <name val="Arial"/>
      <b val="1"/>
      <color rgb="00FFFFFF"/>
      <sz val="11"/>
    </font>
    <font>
      <name val="Arial"/>
    </font>
    <font>
      <name val="Arial"/>
      <i val="1"/>
      <color rgb="006B7280"/>
      <sz val="9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000B5CAD"/>
      </patternFill>
    </fill>
    <fill>
      <patternFill patternType="solid">
        <fgColor rgb="00E2E5EA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0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3" fontId="5" fillId="2" borderId="1" applyAlignment="1" pivotButton="0" quotePrefix="0" xfId="0">
      <alignment horizontal="center" vertical="center"/>
    </xf>
    <xf numFmtId="3" fontId="0" fillId="0" borderId="1" pivotButton="0" quotePrefix="0" xfId="0"/>
    <xf numFmtId="3" fontId="0" fillId="0" borderId="0" pivotButton="0" quotePrefix="0" xfId="0"/>
    <xf numFmtId="3" fontId="5" fillId="2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3" fontId="0" fillId="0" borderId="9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vertical="center" wrapText="1"/>
    </xf>
    <xf numFmtId="0" fontId="3" fillId="0" borderId="8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0" fontId="4" fillId="0" borderId="7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14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/>
    </xf>
    <xf numFmtId="3" fontId="0" fillId="0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center"/>
    </xf>
    <xf numFmtId="0" fontId="2" fillId="0" borderId="7" applyAlignment="1" pivotButton="0" quotePrefix="0" xfId="0">
      <alignment vertical="center" wrapText="1"/>
    </xf>
    <xf numFmtId="0" fontId="2" fillId="0" borderId="3" applyAlignment="1" pivotButton="0" quotePrefix="0" xfId="0">
      <alignment vertical="center" wrapText="1"/>
    </xf>
    <xf numFmtId="0" fontId="2" fillId="0" borderId="2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 vertical="top"/>
    </xf>
    <xf numFmtId="3" fontId="0" fillId="0" borderId="1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2" fillId="0" borderId="2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wrapText="1"/>
    </xf>
    <xf numFmtId="0" fontId="7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2" borderId="8" applyAlignment="1" pivotButton="0" quotePrefix="0" xfId="0">
      <alignment vertical="center"/>
    </xf>
    <xf numFmtId="0" fontId="2" fillId="2" borderId="7" applyAlignment="1" pivotButton="0" quotePrefix="0" xfId="0">
      <alignment vertical="center" wrapText="1"/>
    </xf>
    <xf numFmtId="14" fontId="9" fillId="3" borderId="1" applyAlignment="1" pivotButton="0" quotePrefix="0" xfId="0">
      <alignment horizontal="center"/>
    </xf>
    <xf numFmtId="14" fontId="9" fillId="3" borderId="1" applyAlignment="1" pivotButton="0" quotePrefix="0" xfId="0">
      <alignment horizontal="center" vertical="center"/>
    </xf>
    <xf numFmtId="49" fontId="9" fillId="3" borderId="1" applyAlignment="1" pivotButton="0" quotePrefix="0" xfId="0">
      <alignment horizontal="center"/>
    </xf>
    <xf numFmtId="0" fontId="2" fillId="2" borderId="7" applyAlignment="1" pivotButton="0" quotePrefix="0" xfId="0">
      <alignment vertical="center"/>
    </xf>
    <xf numFmtId="0" fontId="9" fillId="2" borderId="1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 wrapText="1"/>
    </xf>
    <xf numFmtId="3" fontId="0" fillId="0" borderId="11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14" fontId="9" fillId="2" borderId="1" applyAlignment="1" pivotButton="0" quotePrefix="0" xfId="0">
      <alignment horizontal="center" vertical="center"/>
    </xf>
    <xf numFmtId="3" fontId="1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0" borderId="0" pivotButton="0" quotePrefix="0" xfId="0"/>
    <xf numFmtId="3" fontId="0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0" fontId="1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2" borderId="4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2" fillId="0" borderId="6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1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11" fillId="0" borderId="0" pivotButton="0" quotePrefix="0" xfId="0"/>
    <xf numFmtId="3" fontId="12" fillId="0" borderId="0" pivotButton="0" quotePrefix="0" xfId="0"/>
    <xf numFmtId="0" fontId="14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5" borderId="0" applyAlignment="1" pivotButton="0" quotePrefix="0" xfId="0">
      <alignment vertical="center" wrapText="1"/>
    </xf>
    <xf numFmtId="164" fontId="12" fillId="0" borderId="0" pivotButton="0" quotePrefix="0" xfId="0"/>
    <xf numFmtId="0" fontId="11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 wrapText="1"/>
    </xf>
    <xf numFmtId="0" fontId="15" fillId="0" borderId="0" applyAlignment="1" pivotButton="0" quotePrefix="0" xfId="0">
      <alignment vertical="center"/>
    </xf>
    <xf numFmtId="3" fontId="15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wrapText="1"/>
    </xf>
    <xf numFmtId="165" fontId="15" fillId="0" borderId="0" applyAlignment="1" pivotButton="0" quotePrefix="0" xfId="0">
      <alignment vertical="center"/>
    </xf>
    <xf numFmtId="166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2" sqref="A2"/>
    </sheetView>
  </sheetViews>
  <sheetFormatPr baseColWidth="8" defaultColWidth="11" defaultRowHeight="15.75"/>
  <cols>
    <col width="119.125" customWidth="1" style="68" min="1" max="1"/>
  </cols>
  <sheetData>
    <row r="1" ht="20.25" customHeight="1" s="68">
      <c r="A1" s="38" t="inlineStr">
        <is>
          <t>FAQ по заполнению вкладки «Реализованные билеты»</t>
        </is>
      </c>
    </row>
    <row r="2" ht="162" customHeight="1" s="68">
      <c r="A2" s="39" t="inlineStr">
        <is>
          <t>1. Какие данные нужно заполнять?
По каждому матчу необходимо указать:
•	Дату игры
•	Количество реализованных платных и бесплатных билетов
•	Количество действующих платных и бесплатных абонементов/пакетов
•	Количество реализованных платных и бесплатных билетов в бизнес-клубах и ресторанах
•	Количество реализованных платных и бесплатных билетов в ложах - в случае реализации лож на весь сезон, сезонная стоимость ложи делится на количество матчей</t>
        </is>
      </c>
    </row>
    <row r="3" ht="121.5" customHeight="1" s="68">
      <c r="A3" s="39" t="inlineStr">
        <is>
          <t>2. Что входит в итоговую строку "Реализовано билетов, всего"?
Общее количество всех реализованных билетов на соответствующий матч (сумма колонок C-J):
•	Платные и бесплатные билеты
•	Абонементы и пакеты
•	Билеты в бизнес-клубы и ложи</t>
        </is>
      </c>
    </row>
    <row r="4" ht="60.75" customHeight="1" s="68">
      <c r="A4" s="39" t="inlineStr">
        <is>
          <t xml:space="preserve">3. Что такое "бизнес-клубы и рестораны"? 
Это специальные места, которые обычно реализуются вместе с услугой кейтеринга (без учета лож). Если такие билеты не реализовываются, то укажите 0. </t>
        </is>
      </c>
    </row>
    <row r="5" ht="60.75" customHeight="1" s="68">
      <c r="A5" s="39" t="inlineStr">
        <is>
          <t>4. Что писать в колонке "Комментарий"? 
Любые необходимые пояснения по конкретному матчу (например, возможные ограничения по количеству зрителей, пояснения касательно билетной программы матча и т.п.).</t>
        </is>
      </c>
    </row>
    <row r="6" ht="20.25" customHeight="1" s="68">
      <c r="A6" s="40" t="n"/>
    </row>
    <row r="7" ht="20.25" customHeight="1" s="68">
      <c r="A7" s="38" t="inlineStr">
        <is>
          <t>FAQ по заполнению вкладки «Доход от реализации билетов»</t>
        </is>
      </c>
    </row>
    <row r="8" ht="162" customHeight="1" s="68">
      <c r="A8" s="39" t="inlineStr">
        <is>
          <t>1. Какие данные нужно заполнять?
По каждому матчу указываются:
•	Общая сумма дохода от реализации
•	Сумма дохода от реализации платных билетов
•	Сумма дохода от реализации абонементов/пакетов
•	Сумма дохода от реализации мест в бизнес-клубах и ресторанах (без учета стоимости кейтеринга)
•	Сумма дохода от реализации мест в ложах (без учета стоимости кейтеринга)</t>
        </is>
      </c>
    </row>
    <row r="9" ht="81" customHeight="1" s="68">
      <c r="A9" s="39" t="inlineStr">
        <is>
          <t>2. Что такое бизнес-клубы и рестораны? 
Это специальные зоны на арене с повышенным уровнем комфорта и доступом к кейтерингу. В отчёте указывается только доход от продажи мест, без учёта стоимости питания. Если такие билеты не реализовываются, то укажите 0.</t>
        </is>
      </c>
    </row>
    <row r="10" ht="81" customHeight="1" s="68">
      <c r="A10" s="39" t="inlineStr">
        <is>
          <t>3. Как указывать доход от абонементов/пакетов, лож, реализованных на весь сезон или его часть? 
Необходимо разделить общую сумму дохода от реализации на количество матчей и указать долю, приходящуюся на конкретный матч.</t>
        </is>
      </c>
    </row>
    <row r="11" ht="60.75" customHeight="1" s="68">
      <c r="A11" s="39" t="inlineStr">
        <is>
          <t>4. Учитывать ли стоимость кейтеринга в доходах от бизнес-клубов и лож? 
Нет. В отчёте указывается только стоимость мест, без учёта расходов на питание и обслуживание.</t>
        </is>
      </c>
    </row>
    <row r="12" ht="40.5" customHeight="1" s="68">
      <c r="A12" s="39" t="inlineStr">
        <is>
          <t>5. Что писать в комментариях?
Любые пояснения</t>
        </is>
      </c>
    </row>
    <row r="13" ht="20.25" customHeight="1" s="68">
      <c r="A13" s="38" t="n"/>
    </row>
    <row r="14" ht="20.25" customHeight="1" s="68">
      <c r="A14" s="38" t="inlineStr">
        <is>
          <t>FAQ по заполнению вкладки «Агенты и онлайн продажи»</t>
        </is>
      </c>
    </row>
    <row r="15" ht="101.25" customHeight="1" s="68">
      <c r="A15" s="39" t="inlineStr">
        <is>
          <t>1. Какие данные нужно заполнять?
•	Количество и доход от билетов, проданных через каждого агента
•	Количество и доход от билетов, проданных онлайн (через сайт/приложение клуба или партнёров)
•	Количество и доход от билетов, проданных оффлайн (в кассах клуба или партнёра)</t>
        </is>
      </c>
    </row>
    <row r="16" ht="81" customHeight="1" s="68">
      <c r="A16" s="39" t="inlineStr">
        <is>
          <t>2. Что считается агентской продажей? 
Продажа через сторонние онлайн-платформы (например, Kassir, Ticketland и др.) или кассы партнеров (в том числе в некоторых случая – кассы спортсооружения), у которых с клубом заключён соответствующий договор.</t>
        </is>
      </c>
    </row>
    <row r="17" ht="101.25" customHeight="1" s="68">
      <c r="A17" s="39" t="inlineStr">
        <is>
          <t>3. Как учитывать онлайн-продажи? 
Учитываются продажи через:
•	официальный сайт клуба
•	мобильное приложение клуба
•	онлайн-платформы по прямому договору</t>
        </is>
      </c>
    </row>
    <row r="18" ht="60.75" customHeight="1" s="68">
      <c r="A18" s="39" t="inlineStr">
        <is>
          <t>4. Как учитывать оффлайн продажи? 
Все билеты, приобретенные в кассах клуба, арены или партнера, указываются в строке «оффлайн» или «через агентов оффлайн»</t>
        </is>
      </c>
    </row>
    <row r="19" ht="40.5" customHeight="1" s="68">
      <c r="A19" s="39" t="inlineStr">
        <is>
          <t>5. Что писать в комментариях?
Любые пояснения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49"/>
  <sheetViews>
    <sheetView tabSelected="1" topLeftCell="A13" workbookViewId="0">
      <selection activeCell="K39" sqref="K39"/>
    </sheetView>
  </sheetViews>
  <sheetFormatPr baseColWidth="8" defaultColWidth="11" defaultRowHeight="15.75"/>
  <cols>
    <col width="5.125" customWidth="1" style="6" min="1" max="1"/>
    <col width="12.5" customWidth="1" style="49" min="2" max="2"/>
    <col width="13" customWidth="1" style="7" min="3" max="3"/>
    <col width="13" customWidth="1" style="6" min="4" max="6"/>
    <col width="13" customWidth="1" style="68" min="7" max="10"/>
    <col width="15.125" customWidth="1" style="68" min="11" max="11"/>
    <col width="19.625" customWidth="1" style="68" min="12" max="12"/>
  </cols>
  <sheetData>
    <row r="1" ht="17.1" customFormat="1" customHeight="1" s="2">
      <c r="A1" s="18" t="inlineStr">
        <is>
          <t>Поматчевая реализация</t>
        </is>
      </c>
      <c r="B1" s="42" t="n"/>
      <c r="C1" s="50" t="n"/>
      <c r="D1" s="50" t="n"/>
      <c r="E1" s="50" t="n"/>
      <c r="F1" s="50" t="n"/>
      <c r="G1" s="19" t="n"/>
      <c r="H1" s="19" t="n"/>
      <c r="I1" s="19" t="n"/>
      <c r="J1" s="19" t="n"/>
      <c r="K1" s="19" t="n"/>
      <c r="L1" s="19" t="n"/>
    </row>
    <row r="2" ht="80.09999999999999" customHeight="1" s="68">
      <c r="A2" s="63" t="inlineStr">
        <is>
          <t>№ игры</t>
        </is>
      </c>
      <c r="B2" s="71" t="inlineStr">
        <is>
          <t>Дата</t>
        </is>
      </c>
      <c r="C2" s="63" t="inlineStr">
        <is>
          <t>Реализовано платных билетов на матч, шт.</t>
        </is>
      </c>
      <c r="D2" s="63" t="inlineStr">
        <is>
          <t>Реализовано бесплатных билетов на матч, шт.</t>
        </is>
      </c>
      <c r="E2" s="63" t="inlineStr">
        <is>
          <t>Действующие на матч платные абонементы/ пакеты, шт.</t>
        </is>
      </c>
      <c r="F2" s="63" t="inlineStr">
        <is>
          <t>Действующие на матч бесплатные абонементы/ пакеты, шт.</t>
        </is>
      </c>
      <c r="G2" s="63" t="inlineStr">
        <is>
          <t>Реализовано платных билетов в бизнес-клубы и рестораны на матч, шт. *</t>
        </is>
      </c>
      <c r="H2" s="63" t="inlineStr">
        <is>
          <t>Реализовано  бесплатных билетов в бизнес-клубы и рестораны на матч, шт. *</t>
        </is>
      </c>
      <c r="I2" s="63" t="inlineStr">
        <is>
          <t>Реализоавано платных мест в ложах, шт.</t>
        </is>
      </c>
      <c r="J2" s="63" t="inlineStr">
        <is>
          <t>Реализоавано бесплатных мест в ложах, шт.</t>
        </is>
      </c>
      <c r="K2" s="63" t="inlineStr">
        <is>
          <t>Реализовано билетов на матч, всего, шт.</t>
        </is>
      </c>
      <c r="L2" s="62" t="inlineStr">
        <is>
          <t>Комментарий</t>
        </is>
      </c>
      <c r="M2" t="inlineStr">
        <is>
          <t>Посещаемость по протоколу</t>
        </is>
      </c>
    </row>
    <row r="3" ht="15.95" customHeight="1" s="68">
      <c r="A3" s="72" t="n"/>
      <c r="B3" s="72" t="n"/>
      <c r="C3" s="72" t="n"/>
      <c r="D3" s="72" t="n"/>
      <c r="E3" s="72" t="n"/>
      <c r="F3" s="72" t="n"/>
      <c r="G3" s="72" t="n"/>
      <c r="H3" s="72" t="n"/>
      <c r="I3" s="72" t="n"/>
      <c r="J3" s="72" t="n"/>
      <c r="K3" s="72" t="n"/>
      <c r="L3" s="72" t="n"/>
    </row>
    <row r="4">
      <c r="A4" s="37" t="inlineStr">
        <is>
          <t>РЕГУЛЯРНЫЙ ЧЕМПИОНАТ</t>
        </is>
      </c>
      <c r="B4" s="43" t="n"/>
      <c r="C4" s="51" t="n"/>
      <c r="D4" s="51" t="n"/>
      <c r="E4" s="51" t="n"/>
      <c r="F4" s="51" t="n"/>
      <c r="G4" s="28" t="n"/>
      <c r="H4" s="28" t="n"/>
      <c r="I4" s="28" t="n"/>
      <c r="J4" s="28" t="n"/>
      <c r="K4" s="28" t="n"/>
      <c r="L4" s="29" t="n"/>
    </row>
    <row r="5" ht="15.95" customHeight="1" s="68">
      <c r="A5" s="5" t="n">
        <v>1</v>
      </c>
      <c r="B5" s="44" t="n">
        <v>45922</v>
      </c>
      <c r="C5" s="59" t="n">
        <v>3498</v>
      </c>
      <c r="D5" s="10" t="n">
        <v>1912</v>
      </c>
      <c r="E5" s="59" t="n">
        <v>8501</v>
      </c>
      <c r="F5" s="59" t="n">
        <v>1129</v>
      </c>
      <c r="G5" s="5" t="inlineStr">
        <is>
          <t>-</t>
        </is>
      </c>
      <c r="H5" s="5" t="inlineStr">
        <is>
          <t>-</t>
        </is>
      </c>
      <c r="I5" s="59" t="n">
        <v>4</v>
      </c>
      <c r="J5" s="59" t="n">
        <v>42</v>
      </c>
      <c r="K5" s="60">
        <f>SUM(C5:J5)</f>
        <v/>
      </c>
      <c r="L5" s="61" t="n"/>
      <c r="M5" s="12" t="n">
        <v>0</v>
      </c>
    </row>
    <row r="6">
      <c r="A6" s="5" t="n">
        <v>2</v>
      </c>
      <c r="B6" s="44" t="n">
        <v>45924</v>
      </c>
      <c r="C6" s="59" t="n">
        <v>4818</v>
      </c>
      <c r="D6" s="10" t="n">
        <v>1525</v>
      </c>
      <c r="E6" s="59" t="n">
        <v>7244</v>
      </c>
      <c r="F6" s="59" t="n">
        <v>1127</v>
      </c>
      <c r="G6" s="5" t="inlineStr">
        <is>
          <t>-</t>
        </is>
      </c>
      <c r="H6" s="5" t="inlineStr">
        <is>
          <t>-</t>
        </is>
      </c>
      <c r="I6" s="59" t="n">
        <v>8</v>
      </c>
      <c r="J6" s="59" t="n">
        <v>364</v>
      </c>
      <c r="K6" s="60">
        <f>SUM(C6:J6)</f>
        <v/>
      </c>
      <c r="L6" s="11" t="n"/>
      <c r="M6" s="12" t="n">
        <v>0</v>
      </c>
    </row>
    <row r="7" ht="15.95" customHeight="1" s="68">
      <c r="A7" s="5" t="n">
        <v>3</v>
      </c>
      <c r="B7" s="44" t="n">
        <v>45926</v>
      </c>
      <c r="C7" s="59" t="n">
        <v>3596</v>
      </c>
      <c r="D7" s="10" t="n">
        <v>1618</v>
      </c>
      <c r="E7" s="59" t="n">
        <v>8505</v>
      </c>
      <c r="F7" s="59" t="n">
        <v>1137</v>
      </c>
      <c r="G7" s="5" t="inlineStr">
        <is>
          <t>-</t>
        </is>
      </c>
      <c r="H7" s="5" t="inlineStr">
        <is>
          <t>-</t>
        </is>
      </c>
      <c r="I7" s="59" t="n">
        <v>8</v>
      </c>
      <c r="J7" s="59" t="n">
        <v>222</v>
      </c>
      <c r="K7" s="60">
        <f>SUM(C7:J7)</f>
        <v/>
      </c>
      <c r="L7" s="11" t="n"/>
      <c r="M7" s="12" t="n">
        <v>0</v>
      </c>
    </row>
    <row r="8">
      <c r="A8" s="5" t="n">
        <v>4</v>
      </c>
      <c r="B8" s="44" t="n">
        <v>45929</v>
      </c>
      <c r="C8" s="59" t="n">
        <v>4776</v>
      </c>
      <c r="D8" s="10" t="n">
        <v>1750</v>
      </c>
      <c r="E8" s="59" t="n">
        <v>7244</v>
      </c>
      <c r="F8" s="59" t="n">
        <v>1131</v>
      </c>
      <c r="G8" s="5" t="inlineStr">
        <is>
          <t>-</t>
        </is>
      </c>
      <c r="H8" s="5" t="inlineStr">
        <is>
          <t>-</t>
        </is>
      </c>
      <c r="I8" s="59" t="n">
        <v>17</v>
      </c>
      <c r="J8" s="59" t="n">
        <v>168</v>
      </c>
      <c r="K8" s="60">
        <f>SUM(C8:J8)</f>
        <v/>
      </c>
      <c r="L8" s="11" t="n"/>
      <c r="M8" s="12" t="n">
        <v>0</v>
      </c>
    </row>
    <row r="9" ht="15.95" customHeight="1" s="68">
      <c r="A9" s="5" t="n">
        <v>5</v>
      </c>
      <c r="B9" s="44" t="n">
        <v>45931</v>
      </c>
      <c r="C9" s="59" t="n">
        <v>4780</v>
      </c>
      <c r="D9" s="10" t="n">
        <v>1688</v>
      </c>
      <c r="E9" s="59" t="n">
        <v>7244</v>
      </c>
      <c r="F9" s="59" t="n">
        <v>1131</v>
      </c>
      <c r="G9" s="5" t="inlineStr">
        <is>
          <t>-</t>
        </is>
      </c>
      <c r="H9" s="5" t="inlineStr">
        <is>
          <t>-</t>
        </is>
      </c>
      <c r="I9" s="59" t="n">
        <v>4</v>
      </c>
      <c r="J9" s="59" t="n">
        <v>239</v>
      </c>
      <c r="K9" s="60">
        <f>SUM(C9:J9)</f>
        <v/>
      </c>
      <c r="L9" s="11" t="n"/>
      <c r="M9" s="12" t="n">
        <v>0</v>
      </c>
    </row>
    <row r="10">
      <c r="A10" s="5" t="n">
        <v>6</v>
      </c>
      <c r="B10" s="44" t="n">
        <v>45936</v>
      </c>
      <c r="C10" s="59" t="n">
        <v>4651</v>
      </c>
      <c r="D10" s="10" t="n">
        <v>1753</v>
      </c>
      <c r="E10" s="59" t="n">
        <v>7244</v>
      </c>
      <c r="F10" s="59" t="n">
        <v>1131</v>
      </c>
      <c r="G10" s="5" t="inlineStr">
        <is>
          <t>-</t>
        </is>
      </c>
      <c r="H10" s="5" t="inlineStr">
        <is>
          <t>-</t>
        </is>
      </c>
      <c r="I10" s="59" t="n">
        <v>37</v>
      </c>
      <c r="J10" s="59" t="n">
        <v>270</v>
      </c>
      <c r="K10" s="60">
        <f>SUM(C10:J10)</f>
        <v/>
      </c>
      <c r="L10" s="11" t="n"/>
      <c r="M10" s="12" t="n">
        <v>0</v>
      </c>
    </row>
    <row r="11" ht="15.95" customHeight="1" s="68">
      <c r="A11" s="5" t="n">
        <v>7</v>
      </c>
      <c r="B11" s="44" t="n">
        <v>45944</v>
      </c>
      <c r="C11" s="59" t="n">
        <v>4750</v>
      </c>
      <c r="D11" s="10" t="n">
        <v>1759</v>
      </c>
      <c r="E11" s="59" t="n">
        <v>7244</v>
      </c>
      <c r="F11" s="59" t="n">
        <v>1137</v>
      </c>
      <c r="G11" s="5" t="inlineStr">
        <is>
          <t>-</t>
        </is>
      </c>
      <c r="H11" s="5" t="inlineStr">
        <is>
          <t>-</t>
        </is>
      </c>
      <c r="I11" s="59" t="n">
        <v>37</v>
      </c>
      <c r="J11" s="59" t="n">
        <v>159</v>
      </c>
      <c r="K11" s="60">
        <f>SUM(C11:J11)</f>
        <v/>
      </c>
      <c r="L11" s="11" t="n"/>
      <c r="M11" s="12" t="n">
        <v>0</v>
      </c>
    </row>
    <row r="12">
      <c r="A12" s="5" t="n">
        <v>8</v>
      </c>
      <c r="B12" s="44" t="n">
        <v>45947</v>
      </c>
      <c r="C12" s="59" t="n">
        <v>3572</v>
      </c>
      <c r="D12" s="10" t="n">
        <v>1814</v>
      </c>
      <c r="E12" s="59" t="n">
        <v>8505</v>
      </c>
      <c r="F12" s="59" t="n">
        <v>1131</v>
      </c>
      <c r="G12" s="5" t="inlineStr">
        <is>
          <t>-</t>
        </is>
      </c>
      <c r="H12" s="5" t="inlineStr">
        <is>
          <t>-</t>
        </is>
      </c>
      <c r="I12" s="59" t="n">
        <v>37</v>
      </c>
      <c r="J12" s="59" t="n">
        <v>27</v>
      </c>
      <c r="K12" s="60">
        <f>SUM(C12:J12)</f>
        <v/>
      </c>
      <c r="L12" s="11" t="n"/>
      <c r="M12" s="12" t="n">
        <v>0</v>
      </c>
    </row>
    <row r="13" ht="15.95" customHeight="1" s="68">
      <c r="A13" s="5" t="n">
        <v>9</v>
      </c>
      <c r="B13" s="45" t="n">
        <v>45954</v>
      </c>
      <c r="C13" s="59" t="n">
        <v>3150</v>
      </c>
      <c r="D13" s="10" t="n">
        <v>1775</v>
      </c>
      <c r="E13" s="59" t="n">
        <v>8921</v>
      </c>
      <c r="F13" s="59" t="n">
        <v>1143</v>
      </c>
      <c r="G13" s="5" t="inlineStr">
        <is>
          <t>-</t>
        </is>
      </c>
      <c r="H13" s="5" t="inlineStr">
        <is>
          <t>-</t>
        </is>
      </c>
      <c r="I13" s="59" t="n">
        <v>8</v>
      </c>
      <c r="J13" s="59" t="n">
        <v>89</v>
      </c>
      <c r="K13" s="60">
        <f>SUM(C13:J13)</f>
        <v/>
      </c>
      <c r="L13" s="11" t="n"/>
      <c r="M13" s="12" t="n">
        <v>0</v>
      </c>
    </row>
    <row r="14">
      <c r="A14" s="5" t="n">
        <v>10</v>
      </c>
      <c r="B14" s="44" t="n">
        <v>45958</v>
      </c>
      <c r="C14" s="59" t="n">
        <v>4604</v>
      </c>
      <c r="D14" s="10" t="n">
        <v>1676</v>
      </c>
      <c r="E14" s="59" t="n">
        <v>7522</v>
      </c>
      <c r="F14" s="59" t="n">
        <v>1136</v>
      </c>
      <c r="G14" s="5" t="inlineStr">
        <is>
          <t>-</t>
        </is>
      </c>
      <c r="H14" s="5" t="inlineStr">
        <is>
          <t>-</t>
        </is>
      </c>
      <c r="I14" s="59" t="n">
        <v>9</v>
      </c>
      <c r="J14" s="59" t="n">
        <v>139</v>
      </c>
      <c r="K14" s="60">
        <f>SUM(C14:J14)</f>
        <v/>
      </c>
      <c r="L14" s="11" t="n"/>
      <c r="M14" s="12" t="n">
        <v>0</v>
      </c>
    </row>
    <row r="15" ht="15.95" customHeight="1" s="68">
      <c r="A15" s="5" t="n">
        <v>11</v>
      </c>
      <c r="B15" s="45" t="n">
        <v>45960</v>
      </c>
      <c r="C15" s="59" t="n">
        <v>4592</v>
      </c>
      <c r="D15" s="10" t="n">
        <v>1721</v>
      </c>
      <c r="E15" s="59" t="n">
        <v>7522</v>
      </c>
      <c r="F15" s="59" t="n">
        <v>1136</v>
      </c>
      <c r="G15" s="5" t="inlineStr">
        <is>
          <t>-</t>
        </is>
      </c>
      <c r="H15" s="5" t="inlineStr">
        <is>
          <t>-</t>
        </is>
      </c>
      <c r="I15" s="59" t="n">
        <v>39</v>
      </c>
      <c r="J15" s="59" t="n">
        <v>76</v>
      </c>
      <c r="K15" s="60">
        <f>SUM(C15:J15)</f>
        <v/>
      </c>
      <c r="L15" s="11" t="n"/>
      <c r="M15" s="12" t="n">
        <v>0</v>
      </c>
    </row>
    <row r="16">
      <c r="A16" s="5" t="n">
        <v>12</v>
      </c>
      <c r="B16" s="44" t="n">
        <v>45964</v>
      </c>
      <c r="C16" s="59" t="n">
        <v>4294</v>
      </c>
      <c r="D16" s="10" t="n">
        <v>2055</v>
      </c>
      <c r="E16" s="59" t="n">
        <v>7522</v>
      </c>
      <c r="F16" s="59" t="n">
        <v>1136</v>
      </c>
      <c r="G16" s="5" t="inlineStr">
        <is>
          <t>-</t>
        </is>
      </c>
      <c r="H16" s="5" t="inlineStr">
        <is>
          <t>-</t>
        </is>
      </c>
      <c r="I16" s="59" t="n">
        <v>25</v>
      </c>
      <c r="J16" s="59" t="n">
        <v>54</v>
      </c>
      <c r="K16" s="55">
        <f>SUM(C16:J16)</f>
        <v/>
      </c>
      <c r="L16" s="11" t="n"/>
      <c r="M16" s="12" t="n">
        <v>0</v>
      </c>
    </row>
    <row r="17" ht="15.95" customHeight="1" s="68">
      <c r="A17" s="5" t="n">
        <v>13</v>
      </c>
      <c r="B17" s="44" t="n">
        <v>45967</v>
      </c>
      <c r="C17" s="59" t="n">
        <v>3033</v>
      </c>
      <c r="D17" s="10" t="n">
        <v>1902</v>
      </c>
      <c r="E17" s="59" t="n">
        <v>8921</v>
      </c>
      <c r="F17" s="59" t="n">
        <v>1136</v>
      </c>
      <c r="G17" s="5" t="inlineStr">
        <is>
          <t>-</t>
        </is>
      </c>
      <c r="H17" s="5" t="inlineStr">
        <is>
          <t>-</t>
        </is>
      </c>
      <c r="I17" s="59" t="n">
        <v>9</v>
      </c>
      <c r="J17" s="59" t="n">
        <v>85</v>
      </c>
      <c r="K17" s="60">
        <f>SUM(C17:J17)</f>
        <v/>
      </c>
      <c r="L17" s="11" t="n"/>
      <c r="M17" s="12" t="n">
        <v>0</v>
      </c>
    </row>
    <row r="18">
      <c r="A18" s="5" t="n">
        <v>14</v>
      </c>
      <c r="B18" s="44" t="n">
        <v>45969</v>
      </c>
      <c r="C18" s="59" t="n">
        <v>2985</v>
      </c>
      <c r="D18" s="10" t="n">
        <v>1760</v>
      </c>
      <c r="E18" s="59" t="n">
        <v>8921</v>
      </c>
      <c r="F18" s="59" t="n">
        <v>1143</v>
      </c>
      <c r="G18" s="5" t="inlineStr">
        <is>
          <t>-</t>
        </is>
      </c>
      <c r="H18" s="5" t="inlineStr">
        <is>
          <t>-</t>
        </is>
      </c>
      <c r="I18" s="59" t="n">
        <v>36</v>
      </c>
      <c r="J18" s="59" t="n">
        <v>541</v>
      </c>
      <c r="K18" s="60">
        <f>SUM(C18:J18)</f>
        <v/>
      </c>
      <c r="L18" s="11" t="n"/>
      <c r="M18" s="12" t="n">
        <v>0</v>
      </c>
    </row>
    <row r="19" ht="15.95" customHeight="1" s="68">
      <c r="A19" s="5" t="n">
        <v>15</v>
      </c>
      <c r="B19" s="44" t="n">
        <v>45971</v>
      </c>
      <c r="C19" s="59" t="n">
        <v>4616</v>
      </c>
      <c r="D19" s="10" t="n">
        <v>1675</v>
      </c>
      <c r="E19" s="59" t="n">
        <v>7522</v>
      </c>
      <c r="F19" s="59" t="n">
        <v>1136</v>
      </c>
      <c r="G19" s="5" t="inlineStr">
        <is>
          <t>-</t>
        </is>
      </c>
      <c r="H19" s="5" t="inlineStr">
        <is>
          <t>-</t>
        </is>
      </c>
      <c r="I19" s="59" t="n">
        <v>2</v>
      </c>
      <c r="J19" s="59" t="n">
        <v>135</v>
      </c>
      <c r="K19" s="60">
        <f>SUM(C19:J19)</f>
        <v/>
      </c>
      <c r="L19" s="11" t="n"/>
      <c r="M19" s="12" t="n">
        <v>0</v>
      </c>
    </row>
    <row r="20">
      <c r="A20" s="5" t="n">
        <v>16</v>
      </c>
      <c r="B20" s="44" t="n">
        <v>45973</v>
      </c>
      <c r="C20" s="59" t="n">
        <v>4498</v>
      </c>
      <c r="D20" s="10" t="n">
        <v>1750</v>
      </c>
      <c r="E20" s="59" t="n">
        <v>7522</v>
      </c>
      <c r="F20" s="59" t="n">
        <v>1136</v>
      </c>
      <c r="G20" s="5" t="inlineStr">
        <is>
          <t>-</t>
        </is>
      </c>
      <c r="H20" s="5" t="inlineStr">
        <is>
          <t>-</t>
        </is>
      </c>
      <c r="I20" s="59" t="n">
        <v>35</v>
      </c>
      <c r="J20" s="59" t="n">
        <v>145</v>
      </c>
      <c r="K20" s="60">
        <f>SUM(C20:J20)</f>
        <v/>
      </c>
      <c r="L20" s="11" t="n"/>
      <c r="M20" s="12" t="n">
        <v>0</v>
      </c>
    </row>
    <row r="21" ht="15.95" customHeight="1" s="68">
      <c r="A21" s="5" t="n">
        <v>17</v>
      </c>
      <c r="B21" s="44" t="n">
        <v>45981</v>
      </c>
      <c r="C21" s="59" t="n">
        <v>4580</v>
      </c>
      <c r="D21" s="10" t="n">
        <v>1728</v>
      </c>
      <c r="E21" s="59" t="n">
        <v>7522</v>
      </c>
      <c r="F21" s="59" t="n">
        <v>1136</v>
      </c>
      <c r="G21" s="5" t="inlineStr">
        <is>
          <t>-</t>
        </is>
      </c>
      <c r="H21" s="5" t="inlineStr">
        <is>
          <t>-</t>
        </is>
      </c>
      <c r="I21" s="59" t="n">
        <v>46</v>
      </c>
      <c r="J21" s="59" t="n">
        <v>74</v>
      </c>
      <c r="K21" s="60">
        <f>SUM(C21:J21)</f>
        <v/>
      </c>
      <c r="L21" s="11" t="n"/>
      <c r="M21" s="12" t="n">
        <v>0</v>
      </c>
    </row>
    <row r="22">
      <c r="A22" s="5" t="n">
        <v>18</v>
      </c>
      <c r="B22" s="44" t="n">
        <v>45983</v>
      </c>
      <c r="C22" s="59" t="n">
        <v>3162</v>
      </c>
      <c r="D22" s="10" t="n">
        <v>1805</v>
      </c>
      <c r="E22" s="59" t="n">
        <v>8921</v>
      </c>
      <c r="F22" s="59" t="n">
        <v>1143</v>
      </c>
      <c r="G22" s="5" t="inlineStr">
        <is>
          <t>-</t>
        </is>
      </c>
      <c r="H22" s="5" t="inlineStr">
        <is>
          <t>-</t>
        </is>
      </c>
      <c r="I22" s="59" t="n">
        <v>35</v>
      </c>
      <c r="J22" s="59" t="n">
        <v>20</v>
      </c>
      <c r="K22" s="55">
        <f>SUM(C22:J22)</f>
        <v/>
      </c>
      <c r="L22" s="11" t="n"/>
      <c r="M22" s="12" t="n">
        <v>0</v>
      </c>
    </row>
    <row r="23" ht="15.95" customHeight="1" s="68">
      <c r="A23" s="5" t="n">
        <v>19</v>
      </c>
      <c r="B23" s="44" t="n">
        <v>46012</v>
      </c>
      <c r="C23" s="59" t="n">
        <v>2069</v>
      </c>
      <c r="D23" s="10" t="n">
        <v>1931</v>
      </c>
      <c r="E23" s="59" t="n">
        <v>9815</v>
      </c>
      <c r="F23" s="59" t="n">
        <v>1143</v>
      </c>
      <c r="G23" s="5" t="inlineStr">
        <is>
          <t>-</t>
        </is>
      </c>
      <c r="H23" s="5" t="inlineStr">
        <is>
          <t>-</t>
        </is>
      </c>
      <c r="I23" s="59" t="n">
        <v>32</v>
      </c>
      <c r="J23" s="59" t="n">
        <v>96</v>
      </c>
      <c r="K23" s="60">
        <f>SUM(C23:J23)</f>
        <v/>
      </c>
      <c r="L23" s="11" t="n"/>
      <c r="M23" s="12" t="n">
        <v>0</v>
      </c>
    </row>
    <row r="24">
      <c r="A24" s="5" t="n">
        <v>20</v>
      </c>
      <c r="B24" s="44" t="n">
        <v>46014</v>
      </c>
      <c r="C24" s="59" t="n">
        <v>3731</v>
      </c>
      <c r="D24" s="10" t="n">
        <v>2098</v>
      </c>
      <c r="E24" s="59" t="n">
        <v>7944</v>
      </c>
      <c r="F24" s="59" t="n">
        <v>1136</v>
      </c>
      <c r="G24" s="5" t="inlineStr">
        <is>
          <t>-</t>
        </is>
      </c>
      <c r="H24" s="5" t="inlineStr">
        <is>
          <t>-</t>
        </is>
      </c>
      <c r="I24" s="59" t="n">
        <v>11</v>
      </c>
      <c r="J24" s="59" t="n">
        <v>166</v>
      </c>
      <c r="K24" s="60">
        <f>SUM(C24:J24)</f>
        <v/>
      </c>
      <c r="L24" s="11" t="n"/>
      <c r="M24" s="12" t="n">
        <v>0</v>
      </c>
    </row>
    <row r="25" ht="15.95" customHeight="1" s="68">
      <c r="A25" s="5" t="n">
        <v>21</v>
      </c>
      <c r="B25" s="44" t="n">
        <v>46017</v>
      </c>
      <c r="C25" s="59" t="n">
        <v>1859</v>
      </c>
      <c r="D25" s="10" t="n">
        <v>2127</v>
      </c>
      <c r="E25" s="59" t="n">
        <v>9815</v>
      </c>
      <c r="F25" s="59" t="n">
        <v>1143</v>
      </c>
      <c r="G25" s="5" t="inlineStr">
        <is>
          <t>-</t>
        </is>
      </c>
      <c r="H25" s="5" t="inlineStr">
        <is>
          <t>-</t>
        </is>
      </c>
      <c r="I25" s="59" t="n">
        <v>61</v>
      </c>
      <c r="J25" s="59" t="n">
        <v>81</v>
      </c>
      <c r="K25" s="60">
        <f>SUM(C25:J25)</f>
        <v/>
      </c>
      <c r="L25" s="11" t="n"/>
      <c r="M25" s="12" t="n">
        <v>0</v>
      </c>
    </row>
    <row r="26">
      <c r="A26" s="5" t="n">
        <v>22</v>
      </c>
      <c r="B26" s="44" t="n">
        <v>46019</v>
      </c>
      <c r="C26" s="59" t="n">
        <v>1818</v>
      </c>
      <c r="D26" s="10" t="n">
        <v>2205</v>
      </c>
      <c r="E26" s="59" t="n">
        <v>9815</v>
      </c>
      <c r="F26" s="59" t="n">
        <v>1143</v>
      </c>
      <c r="G26" s="5" t="inlineStr">
        <is>
          <t>-</t>
        </is>
      </c>
      <c r="H26" s="5" t="inlineStr">
        <is>
          <t>-</t>
        </is>
      </c>
      <c r="I26" s="59" t="n">
        <v>31</v>
      </c>
      <c r="J26" s="59" t="n">
        <v>74</v>
      </c>
      <c r="K26" s="60">
        <f>SUM(C26:J26)</f>
        <v/>
      </c>
      <c r="L26" s="11" t="n"/>
      <c r="M26" s="12" t="n">
        <v>0</v>
      </c>
    </row>
    <row r="27" ht="15.95" customHeight="1" s="68">
      <c r="A27" s="5" t="n">
        <v>23</v>
      </c>
      <c r="B27" s="44" t="n">
        <v>46034</v>
      </c>
      <c r="C27" s="59" t="n">
        <v>3988</v>
      </c>
      <c r="D27" s="13" t="n">
        <v>1837</v>
      </c>
      <c r="E27" s="59" t="n">
        <v>7944</v>
      </c>
      <c r="F27" s="59" t="n">
        <v>1136</v>
      </c>
      <c r="G27" s="5" t="inlineStr">
        <is>
          <t>-</t>
        </is>
      </c>
      <c r="H27" s="5" t="inlineStr">
        <is>
          <t>-</t>
        </is>
      </c>
      <c r="I27" s="59" t="n">
        <v>6</v>
      </c>
      <c r="J27" s="59" t="n">
        <v>175</v>
      </c>
      <c r="K27" s="60">
        <f>SUM(C27:J27)</f>
        <v/>
      </c>
      <c r="L27" s="11" t="n"/>
      <c r="M27" s="12" t="n">
        <v>0</v>
      </c>
    </row>
    <row r="28">
      <c r="A28" s="5" t="n">
        <v>24</v>
      </c>
      <c r="B28" s="44" t="n">
        <v>46046</v>
      </c>
      <c r="C28" s="59" t="n">
        <v>1756</v>
      </c>
      <c r="D28" s="13" t="n">
        <v>2210</v>
      </c>
      <c r="E28" s="59" t="n">
        <v>9815</v>
      </c>
      <c r="F28" s="59" t="n">
        <v>1143</v>
      </c>
      <c r="G28" s="5" t="inlineStr">
        <is>
          <t>-</t>
        </is>
      </c>
      <c r="H28" s="5" t="inlineStr">
        <is>
          <t>-</t>
        </is>
      </c>
      <c r="I28" s="59" t="n">
        <v>8</v>
      </c>
      <c r="J28" s="59" t="n">
        <v>154</v>
      </c>
      <c r="K28" s="60">
        <f>SUM(C28:J28)</f>
        <v/>
      </c>
      <c r="L28" s="11" t="n"/>
      <c r="M28" s="12" t="n">
        <v>0</v>
      </c>
    </row>
    <row r="29" ht="15.95" customHeight="1" s="68">
      <c r="A29" s="5" t="n">
        <v>25</v>
      </c>
      <c r="B29" s="44" t="n">
        <v>46048</v>
      </c>
      <c r="C29" s="59" t="n">
        <v>3679</v>
      </c>
      <c r="D29" s="13" t="n">
        <v>1939</v>
      </c>
      <c r="E29" s="59" t="n">
        <v>7944</v>
      </c>
      <c r="F29" s="59" t="n">
        <v>1136</v>
      </c>
      <c r="G29" s="5" t="inlineStr">
        <is>
          <t>-</t>
        </is>
      </c>
      <c r="H29" s="5" t="inlineStr">
        <is>
          <t>-</t>
        </is>
      </c>
      <c r="I29" s="59" t="n">
        <v>59</v>
      </c>
      <c r="J29" s="59" t="n">
        <v>329</v>
      </c>
      <c r="K29" s="60">
        <f>SUM(C29:J29)</f>
        <v/>
      </c>
      <c r="L29" s="11" t="n"/>
      <c r="M29" s="12" t="n">
        <v>0</v>
      </c>
    </row>
    <row r="30">
      <c r="A30" s="5" t="n">
        <v>26</v>
      </c>
      <c r="B30" s="46" t="inlineStr">
        <is>
          <t>03.02.2026</t>
        </is>
      </c>
      <c r="C30" s="59" t="n">
        <v>2867</v>
      </c>
      <c r="D30" s="13" t="n">
        <v>1970</v>
      </c>
      <c r="E30" s="59" t="n">
        <v>8915</v>
      </c>
      <c r="F30" s="59" t="n">
        <v>1136</v>
      </c>
      <c r="G30" s="5" t="inlineStr">
        <is>
          <t>-</t>
        </is>
      </c>
      <c r="H30" s="5" t="inlineStr">
        <is>
          <t>-</t>
        </is>
      </c>
      <c r="I30" s="59" t="n">
        <v>26</v>
      </c>
      <c r="J30" s="59" t="n">
        <v>172</v>
      </c>
      <c r="K30" s="60">
        <f>SUM(C30:J30)</f>
        <v/>
      </c>
      <c r="L30" s="11" t="n"/>
      <c r="M30" s="12" t="n">
        <v>0</v>
      </c>
    </row>
    <row r="31" ht="15.95" customHeight="1" s="68">
      <c r="A31" s="5" t="n">
        <v>27</v>
      </c>
      <c r="B31" s="46" t="inlineStr">
        <is>
          <t>10.02.2026</t>
        </is>
      </c>
      <c r="C31" s="59" t="n">
        <v>2809</v>
      </c>
      <c r="D31" s="13" t="n">
        <v>1957</v>
      </c>
      <c r="E31" s="59" t="n">
        <v>8915</v>
      </c>
      <c r="F31" s="59" t="n">
        <v>1136</v>
      </c>
      <c r="G31" s="5" t="inlineStr">
        <is>
          <t>-</t>
        </is>
      </c>
      <c r="H31" s="5" t="inlineStr">
        <is>
          <t>-</t>
        </is>
      </c>
      <c r="I31" s="59" t="n">
        <v>6</v>
      </c>
      <c r="J31" s="59" t="n">
        <v>263</v>
      </c>
      <c r="K31" s="60">
        <f>SUM(C31:J31)</f>
        <v/>
      </c>
      <c r="L31" s="11" t="n"/>
      <c r="M31" s="12" t="n">
        <v>0</v>
      </c>
    </row>
    <row r="32">
      <c r="A32" s="5" t="n">
        <v>28</v>
      </c>
      <c r="B32" s="44" t="n">
        <v>46065</v>
      </c>
      <c r="C32" s="59" t="n">
        <v>2786</v>
      </c>
      <c r="D32" s="13" t="n">
        <v>2115</v>
      </c>
      <c r="E32" s="59" t="n">
        <v>8915</v>
      </c>
      <c r="F32" s="59" t="n">
        <v>1136</v>
      </c>
      <c r="G32" s="5" t="inlineStr">
        <is>
          <t>-</t>
        </is>
      </c>
      <c r="H32" s="5" t="inlineStr">
        <is>
          <t>-</t>
        </is>
      </c>
      <c r="I32" s="59" t="n">
        <v>40</v>
      </c>
      <c r="J32" s="59" t="n">
        <v>94</v>
      </c>
      <c r="K32" s="60">
        <f>SUM(C32:J32)</f>
        <v/>
      </c>
      <c r="L32" s="11" t="n"/>
      <c r="M32" s="12" t="n">
        <v>0</v>
      </c>
    </row>
    <row r="33" ht="15.95" customHeight="1" s="68">
      <c r="A33" s="5" t="n">
        <v>29</v>
      </c>
      <c r="B33" s="44" t="n">
        <v>46071</v>
      </c>
      <c r="C33" s="59" t="n">
        <v>2737</v>
      </c>
      <c r="D33" s="13" t="n">
        <v>2135</v>
      </c>
      <c r="E33" s="59" t="n">
        <v>8915</v>
      </c>
      <c r="F33" s="59" t="n">
        <v>1136</v>
      </c>
      <c r="G33" s="5" t="inlineStr">
        <is>
          <t>-</t>
        </is>
      </c>
      <c r="H33" s="5" t="inlineStr">
        <is>
          <t>-</t>
        </is>
      </c>
      <c r="I33" s="59" t="n">
        <v>34</v>
      </c>
      <c r="J33" s="59" t="n">
        <v>129</v>
      </c>
      <c r="K33" s="60">
        <f>SUM(C33:J33)</f>
        <v/>
      </c>
      <c r="L33" s="11" t="n"/>
      <c r="M33" s="12" t="n">
        <v>0</v>
      </c>
    </row>
    <row r="34">
      <c r="A34" s="5" t="n">
        <v>30</v>
      </c>
      <c r="B34" s="44" t="n">
        <v>46084</v>
      </c>
      <c r="C34" s="59" t="n">
        <v>2747</v>
      </c>
      <c r="D34" s="13" t="n">
        <v>2134</v>
      </c>
      <c r="E34" s="59" t="n">
        <v>8919</v>
      </c>
      <c r="F34" s="59" t="n">
        <v>1136</v>
      </c>
      <c r="G34" s="5" t="inlineStr">
        <is>
          <t>-</t>
        </is>
      </c>
      <c r="H34" s="5" t="inlineStr">
        <is>
          <t>-</t>
        </is>
      </c>
      <c r="I34" s="59" t="n">
        <v>10</v>
      </c>
      <c r="J34" s="59" t="n">
        <v>140</v>
      </c>
      <c r="K34" s="60">
        <f>SUM(C34:J34)</f>
        <v/>
      </c>
      <c r="L34" s="11" t="n"/>
      <c r="M34" s="12" t="n">
        <v>0</v>
      </c>
    </row>
    <row r="35" ht="15.95" customHeight="1" s="68">
      <c r="A35" s="5" t="n">
        <v>31</v>
      </c>
      <c r="B35" s="44" t="n">
        <v>46086</v>
      </c>
      <c r="C35" s="59" t="n">
        <v>2706</v>
      </c>
      <c r="D35" s="13" t="n">
        <v>2222</v>
      </c>
      <c r="E35" s="59" t="n">
        <v>8919</v>
      </c>
      <c r="F35" s="59" t="n">
        <v>1136</v>
      </c>
      <c r="G35" s="5" t="inlineStr">
        <is>
          <t>-</t>
        </is>
      </c>
      <c r="H35" s="5" t="inlineStr">
        <is>
          <t>-</t>
        </is>
      </c>
      <c r="I35" s="59" t="n">
        <v>47</v>
      </c>
      <c r="J35" s="59" t="n">
        <v>56</v>
      </c>
      <c r="K35" s="60">
        <f>SUM(C35:J35)</f>
        <v/>
      </c>
      <c r="L35" s="11" t="n"/>
      <c r="M35" s="12" t="n">
        <v>0</v>
      </c>
    </row>
    <row r="36">
      <c r="A36" s="5" t="n">
        <v>32</v>
      </c>
      <c r="B36" s="44" t="n">
        <v>46096</v>
      </c>
      <c r="C36" s="59" t="n">
        <v>1151</v>
      </c>
      <c r="D36" s="13" t="n">
        <v>1930</v>
      </c>
      <c r="E36" s="59" t="n">
        <v>10790</v>
      </c>
      <c r="F36" s="59" t="n">
        <v>1143</v>
      </c>
      <c r="G36" s="5" t="inlineStr">
        <is>
          <t>-</t>
        </is>
      </c>
      <c r="H36" s="5" t="inlineStr">
        <is>
          <t>-</t>
        </is>
      </c>
      <c r="I36" s="59" t="n">
        <v>21</v>
      </c>
      <c r="J36" s="59" t="n">
        <v>51</v>
      </c>
      <c r="K36" s="60">
        <f>SUM(C36:J36)</f>
        <v/>
      </c>
      <c r="L36" s="11" t="n"/>
      <c r="M36" s="12" t="n">
        <v>0</v>
      </c>
    </row>
    <row r="37" ht="15.95" customHeight="1" s="68">
      <c r="A37" s="5" t="n">
        <v>33</v>
      </c>
      <c r="B37" s="44" t="n">
        <v>46098</v>
      </c>
      <c r="C37" s="59" t="n">
        <v>2666</v>
      </c>
      <c r="D37" s="13" t="n">
        <v>2119</v>
      </c>
      <c r="E37" s="59" t="n">
        <v>8919</v>
      </c>
      <c r="F37" s="59" t="n">
        <v>1136</v>
      </c>
      <c r="G37" s="5" t="inlineStr">
        <is>
          <t>-</t>
        </is>
      </c>
      <c r="H37" s="5" t="inlineStr">
        <is>
          <t>-</t>
        </is>
      </c>
      <c r="I37" s="59" t="n">
        <v>17</v>
      </c>
      <c r="J37" s="59" t="n">
        <v>229</v>
      </c>
      <c r="K37" s="60">
        <f>SUM(C37:J37)</f>
        <v/>
      </c>
      <c r="L37" s="11" t="n"/>
      <c r="M37" s="12" t="n">
        <v>0</v>
      </c>
    </row>
    <row r="38">
      <c r="A38" s="5" t="n">
        <v>34</v>
      </c>
      <c r="B38" s="44" t="n">
        <v>46101</v>
      </c>
      <c r="C38" s="52" t="n">
        <v>1194</v>
      </c>
      <c r="D38" s="13" t="n">
        <v>1937</v>
      </c>
      <c r="E38" s="59" t="n">
        <v>10790</v>
      </c>
      <c r="F38" s="59" t="n">
        <v>1143</v>
      </c>
      <c r="G38" s="5" t="inlineStr">
        <is>
          <t>-</t>
        </is>
      </c>
      <c r="H38" s="5" t="inlineStr">
        <is>
          <t>-</t>
        </is>
      </c>
      <c r="I38" s="59" t="n">
        <v>12</v>
      </c>
      <c r="J38" s="59" t="n">
        <v>10</v>
      </c>
      <c r="K38" s="55">
        <f>SUM(C38:J38)</f>
        <v/>
      </c>
      <c r="L38" s="11" t="n"/>
      <c r="M38" s="12" t="n">
        <v>0</v>
      </c>
    </row>
    <row r="39">
      <c r="A39" s="20" t="inlineStr">
        <is>
          <t>ПЛЕЙ-ОФФ</t>
        </is>
      </c>
      <c r="B39" s="47" t="n"/>
      <c r="C39" s="53" t="n"/>
      <c r="D39" s="53" t="n"/>
      <c r="E39" s="53" t="n"/>
      <c r="F39" s="53" t="n"/>
      <c r="G39" s="21" t="n"/>
      <c r="H39" s="21" t="n"/>
      <c r="I39" s="21" t="n"/>
      <c r="J39" s="21" t="n"/>
      <c r="K39" s="60" t="n"/>
      <c r="L39" s="22" t="n"/>
    </row>
    <row r="40">
      <c r="A40" s="5" t="n"/>
      <c r="B40" s="54" t="n">
        <v>46105</v>
      </c>
      <c r="C40" s="14" t="n">
        <v>4865</v>
      </c>
      <c r="D40" s="14" t="n">
        <v>1882</v>
      </c>
      <c r="E40" s="5" t="n">
        <v>6817</v>
      </c>
      <c r="F40" s="5" t="n">
        <v>1136</v>
      </c>
      <c r="G40" s="5" t="inlineStr">
        <is>
          <t>-</t>
        </is>
      </c>
      <c r="H40" s="5" t="inlineStr">
        <is>
          <t>-</t>
        </is>
      </c>
      <c r="I40" s="5" t="n">
        <v>9</v>
      </c>
      <c r="J40" s="5" t="n">
        <v>377</v>
      </c>
      <c r="K40" s="60">
        <f>SUM(C40:J40)</f>
        <v/>
      </c>
      <c r="L40" s="4" t="n"/>
      <c r="M40" s="12" t="n"/>
    </row>
    <row r="41" ht="15.95" customHeight="1" s="68">
      <c r="A41" s="5" t="n"/>
      <c r="B41" s="54" t="n">
        <v>46107</v>
      </c>
      <c r="C41" s="14" t="n">
        <v>4802</v>
      </c>
      <c r="D41" s="14" t="n">
        <v>2006</v>
      </c>
      <c r="E41" s="5" t="n">
        <v>6817</v>
      </c>
      <c r="F41" s="5" t="n">
        <v>1136</v>
      </c>
      <c r="G41" s="5" t="inlineStr">
        <is>
          <t>-</t>
        </is>
      </c>
      <c r="H41" s="5" t="inlineStr">
        <is>
          <t>-</t>
        </is>
      </c>
      <c r="I41" s="5" t="n">
        <v>12</v>
      </c>
      <c r="J41" s="5" t="n">
        <v>313</v>
      </c>
      <c r="K41" s="60">
        <f>SUM(C41:J41)</f>
        <v/>
      </c>
      <c r="L41" s="4" t="n"/>
      <c r="M41" s="12" t="n"/>
    </row>
    <row r="42">
      <c r="A42" s="5" t="n"/>
      <c r="B42" s="54" t="n">
        <v>46121</v>
      </c>
      <c r="C42" s="14" t="n">
        <v>4130</v>
      </c>
      <c r="D42" s="14" t="n">
        <v>2022</v>
      </c>
      <c r="E42" s="5" t="n">
        <v>7728</v>
      </c>
      <c r="F42" s="5" t="n">
        <v>1136</v>
      </c>
      <c r="G42" s="5" t="inlineStr">
        <is>
          <t>-</t>
        </is>
      </c>
      <c r="H42" s="5" t="inlineStr">
        <is>
          <t>-</t>
        </is>
      </c>
      <c r="I42" s="5" t="n">
        <v>38</v>
      </c>
      <c r="J42" s="5" t="n">
        <v>32</v>
      </c>
      <c r="K42" s="60">
        <f>SUM(C42:J42)</f>
        <v/>
      </c>
      <c r="L42" s="4" t="n"/>
      <c r="M42" s="12" t="n"/>
    </row>
    <row r="43" ht="15.95" customHeight="1" s="68">
      <c r="A43" s="5" t="n"/>
      <c r="B43" s="54" t="n">
        <v>46123</v>
      </c>
      <c r="C43" s="14" t="n">
        <v>4269</v>
      </c>
      <c r="D43" s="14" t="n">
        <v>1870</v>
      </c>
      <c r="E43" s="5" t="n">
        <v>7728</v>
      </c>
      <c r="F43" s="5" t="n">
        <v>1136</v>
      </c>
      <c r="G43" s="5" t="inlineStr">
        <is>
          <t>-</t>
        </is>
      </c>
      <c r="H43" s="5" t="inlineStr">
        <is>
          <t>-</t>
        </is>
      </c>
      <c r="I43" s="5" t="n">
        <v>43</v>
      </c>
      <c r="J43" s="5" t="n">
        <v>40</v>
      </c>
      <c r="K43" s="55">
        <f>SUM(C43:J43)</f>
        <v/>
      </c>
      <c r="L43" s="4" t="n"/>
      <c r="M43" s="12" t="n"/>
    </row>
    <row r="44">
      <c r="A44" s="5" t="n"/>
      <c r="B44" s="48" t="n"/>
      <c r="C44" s="14" t="n"/>
      <c r="D44" s="14" t="n"/>
      <c r="E44" s="5" t="n"/>
      <c r="F44" s="5" t="n"/>
      <c r="G44" s="5" t="n"/>
      <c r="H44" s="5" t="n"/>
      <c r="I44" s="5" t="n"/>
      <c r="J44" s="5" t="n"/>
      <c r="K44" s="60" t="n"/>
      <c r="L44" s="4" t="n"/>
      <c r="M44" s="12" t="n"/>
    </row>
    <row r="45" ht="15.95" customHeight="1" s="68">
      <c r="A45" s="5" t="n"/>
      <c r="B45" s="48" t="n"/>
      <c r="C45" s="14" t="n"/>
      <c r="D45" s="14" t="n"/>
      <c r="E45" s="5" t="n"/>
      <c r="F45" s="5" t="n"/>
      <c r="G45" s="5" t="n"/>
      <c r="H45" s="5" t="n"/>
      <c r="I45" s="5" t="n"/>
      <c r="J45" s="5" t="n"/>
      <c r="K45" s="60" t="n"/>
      <c r="L45" s="4" t="n"/>
      <c r="M45" s="12" t="n"/>
    </row>
    <row r="46">
      <c r="A46" s="5" t="n"/>
      <c r="B46" s="48" t="n"/>
      <c r="C46" s="14" t="n"/>
      <c r="D46" s="14" t="n"/>
      <c r="E46" s="5" t="n"/>
      <c r="F46" s="5" t="n"/>
      <c r="G46" s="5" t="n"/>
      <c r="H46" s="5" t="n"/>
      <c r="I46" s="5" t="n"/>
      <c r="J46" s="5" t="n"/>
      <c r="K46" s="60" t="n"/>
      <c r="L46" s="4" t="n"/>
    </row>
    <row r="47"/>
    <row r="48">
      <c r="A48" s="31" t="inlineStr">
        <is>
          <t>* Места, в стоимость которых включен кейтеринг</t>
        </is>
      </c>
    </row>
    <row r="49">
      <c r="A49" s="31" t="n"/>
    </row>
  </sheetData>
  <mergeCells count="12">
    <mergeCell ref="H2:H3"/>
    <mergeCell ref="D2:D3"/>
    <mergeCell ref="K2:K3"/>
    <mergeCell ref="B2:B3"/>
    <mergeCell ref="A2:A3"/>
    <mergeCell ref="C2:C3"/>
    <mergeCell ref="F2:F3"/>
    <mergeCell ref="E2:E3"/>
    <mergeCell ref="J2:J3"/>
    <mergeCell ref="I2:I3"/>
    <mergeCell ref="G2:G3"/>
    <mergeCell ref="L2:L3"/>
  </mergeCells>
  <pageMargins left="0.3149606299212598" right="0.3149606299212598" top="0.3543307086614174" bottom="0.3543307086614174" header="0.3149606299212598" footer="0.3149606299212598"/>
  <pageSetup orientation="landscape" paperSize="9" scale="85" fitToHeight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E47" sqref="E47"/>
    </sheetView>
  </sheetViews>
  <sheetFormatPr baseColWidth="8" defaultColWidth="11" defaultRowHeight="15.75"/>
  <cols>
    <col width="21.625" customWidth="1" style="68" min="1" max="1"/>
    <col width="17.875" customWidth="1" style="68" min="3" max="3"/>
    <col width="21" customWidth="1" style="68" min="4" max="4"/>
    <col width="16.5" customWidth="1" style="68" min="5" max="5"/>
    <col width="19.625" customWidth="1" style="68" min="6" max="6"/>
    <col width="17" customWidth="1" style="68" min="7" max="7"/>
    <col width="18.375" customWidth="1" style="68" min="8" max="8"/>
  </cols>
  <sheetData>
    <row r="1" ht="17.25" customHeight="1" s="68">
      <c r="A1" s="18" t="inlineStr">
        <is>
          <t>Поматчевая реализация</t>
        </is>
      </c>
      <c r="B1" s="18" t="n"/>
      <c r="C1" s="19" t="n"/>
      <c r="D1" s="19" t="n"/>
      <c r="E1" s="19" t="n"/>
      <c r="F1" s="19" t="n"/>
      <c r="G1" s="19" t="n"/>
      <c r="H1" s="19" t="n"/>
    </row>
    <row r="2" ht="105.95" customHeight="1" s="68">
      <c r="A2" s="17" t="inlineStr">
        <is>
          <t>№ игры</t>
        </is>
      </c>
      <c r="B2" s="17" t="inlineStr">
        <is>
          <t>Дата</t>
        </is>
      </c>
      <c r="C2" s="63" t="inlineStr">
        <is>
          <t>Сумма дохода от всех реализованных билетов на матч</t>
        </is>
      </c>
      <c r="D2" s="63" t="inlineStr">
        <is>
          <t>Сумма дохода от реализованных платных билетов на матч</t>
        </is>
      </c>
      <c r="E2" s="63" t="inlineStr">
        <is>
          <t>Сумма дохода от реализованных на матч платных абонементов/ пакетов, шт. *</t>
        </is>
      </c>
      <c r="F2" s="63" t="inlineStr">
        <is>
          <t xml:space="preserve">Общая сумма дохода от реализованных платных билетов в бизнес-клубы и рестораны** на матч, шт. </t>
        </is>
      </c>
      <c r="G2" s="63" t="inlineStr">
        <is>
          <t>Общая сумма дохода от реализованных платных мест в ложах ***</t>
        </is>
      </c>
      <c r="H2" s="25" t="inlineStr">
        <is>
          <t>Комментарий</t>
        </is>
      </c>
    </row>
    <row r="3" ht="15.95" customHeight="1" s="68">
      <c r="A3" s="30" t="inlineStr">
        <is>
          <t>РЕГУЛЯРНЫЙ ЧЕМПИОНАТ</t>
        </is>
      </c>
      <c r="B3" s="28" t="n"/>
      <c r="C3" s="28" t="n"/>
      <c r="D3" s="28" t="n"/>
      <c r="E3" s="28" t="n"/>
      <c r="F3" s="28" t="n"/>
      <c r="G3" s="28" t="n"/>
      <c r="H3" s="29" t="n"/>
    </row>
    <row r="4">
      <c r="A4" s="5" t="n">
        <v>1</v>
      </c>
      <c r="B4" s="23" t="n">
        <v>45922</v>
      </c>
      <c r="C4" s="60" t="n">
        <v>317062.9577</v>
      </c>
      <c r="D4" s="60" t="n">
        <v>207879</v>
      </c>
      <c r="E4" s="59" t="n">
        <v>106583.96</v>
      </c>
      <c r="F4" s="59" t="inlineStr">
        <is>
          <t>-</t>
        </is>
      </c>
      <c r="G4" s="59" t="n">
        <v>2600</v>
      </c>
      <c r="H4" s="11" t="n"/>
    </row>
    <row r="5">
      <c r="A5" s="5" t="n">
        <v>2</v>
      </c>
      <c r="B5" s="23" t="n">
        <v>45924</v>
      </c>
      <c r="C5" s="60" t="n">
        <v>228843.0762</v>
      </c>
      <c r="D5" s="60" t="n">
        <v>141363</v>
      </c>
      <c r="E5" s="59" t="n">
        <v>82280.08</v>
      </c>
      <c r="F5" s="59" t="inlineStr">
        <is>
          <t>-</t>
        </is>
      </c>
      <c r="G5" s="59" t="n">
        <v>5200</v>
      </c>
      <c r="H5" s="11" t="n"/>
    </row>
    <row r="6">
      <c r="A6" s="5" t="n">
        <v>3</v>
      </c>
      <c r="B6" s="23" t="n">
        <v>45926</v>
      </c>
      <c r="C6" s="60" t="n">
        <v>257080.9577</v>
      </c>
      <c r="D6" s="60" t="n">
        <v>145297</v>
      </c>
      <c r="E6" s="59" t="n">
        <v>106583.96</v>
      </c>
      <c r="F6" s="59" t="inlineStr">
        <is>
          <t>-</t>
        </is>
      </c>
      <c r="G6" s="59" t="n">
        <v>5200</v>
      </c>
      <c r="H6" s="11" t="n"/>
    </row>
    <row r="7">
      <c r="A7" s="5" t="n">
        <v>4</v>
      </c>
      <c r="B7" s="23" t="n">
        <v>45929</v>
      </c>
      <c r="C7" s="60" t="n">
        <v>241134.0762</v>
      </c>
      <c r="D7" s="60" t="n">
        <v>147804</v>
      </c>
      <c r="E7" s="59" t="n">
        <v>82280.08</v>
      </c>
      <c r="F7" s="59" t="inlineStr">
        <is>
          <t>-</t>
        </is>
      </c>
      <c r="G7" s="59" t="n">
        <v>11050</v>
      </c>
      <c r="H7" s="11" t="n"/>
    </row>
    <row r="8">
      <c r="A8" s="5" t="n">
        <v>5</v>
      </c>
      <c r="B8" s="23" t="n">
        <v>45931</v>
      </c>
      <c r="C8" s="60" t="n">
        <v>222116.0762</v>
      </c>
      <c r="D8" s="60" t="n">
        <v>137236</v>
      </c>
      <c r="E8" s="59" t="n">
        <v>82280.08</v>
      </c>
      <c r="F8" s="59" t="inlineStr">
        <is>
          <t>-</t>
        </is>
      </c>
      <c r="G8" s="59" t="n">
        <v>2600</v>
      </c>
      <c r="H8" s="11" t="n"/>
    </row>
    <row r="9">
      <c r="A9" s="5" t="n">
        <v>6</v>
      </c>
      <c r="B9" s="23" t="n">
        <v>45936</v>
      </c>
      <c r="C9" s="60" t="n">
        <v>251898.0762</v>
      </c>
      <c r="D9" s="60" t="n">
        <v>155868</v>
      </c>
      <c r="E9" s="59" t="n">
        <v>82280.08</v>
      </c>
      <c r="F9" s="59" t="inlineStr">
        <is>
          <t>-</t>
        </is>
      </c>
      <c r="G9" s="59" t="n">
        <v>13750</v>
      </c>
      <c r="H9" s="11" t="n"/>
    </row>
    <row r="10">
      <c r="A10" s="5" t="n">
        <v>7</v>
      </c>
      <c r="B10" s="23" t="n">
        <v>45944</v>
      </c>
      <c r="C10" s="60" t="n">
        <v>245273.0762</v>
      </c>
      <c r="D10" s="60" t="n">
        <v>149243</v>
      </c>
      <c r="E10" s="59" t="n">
        <v>82280.08</v>
      </c>
      <c r="F10" s="59" t="inlineStr">
        <is>
          <t>-</t>
        </is>
      </c>
      <c r="G10" s="59" t="n">
        <v>13750</v>
      </c>
      <c r="H10" s="11" t="n"/>
    </row>
    <row r="11">
      <c r="A11" s="5" t="n">
        <v>8</v>
      </c>
      <c r="B11" s="23" t="n">
        <v>45947</v>
      </c>
      <c r="C11" s="60" t="n">
        <v>267997.9577</v>
      </c>
      <c r="D11" s="60" t="n">
        <v>147664</v>
      </c>
      <c r="E11" s="59" t="n">
        <v>106583.96</v>
      </c>
      <c r="F11" s="59" t="inlineStr">
        <is>
          <t>-</t>
        </is>
      </c>
      <c r="G11" s="59" t="n">
        <v>13750</v>
      </c>
      <c r="H11" s="11" t="n"/>
    </row>
    <row r="12">
      <c r="A12" s="5" t="n">
        <v>9</v>
      </c>
      <c r="B12" s="23" t="n">
        <v>45954</v>
      </c>
      <c r="C12" s="60" t="n">
        <v>249109.91</v>
      </c>
      <c r="D12" s="60" t="n">
        <v>128998</v>
      </c>
      <c r="E12" s="59" t="n">
        <v>114911.91</v>
      </c>
      <c r="F12" s="59" t="inlineStr">
        <is>
          <t>-</t>
        </is>
      </c>
      <c r="G12" s="59" t="n">
        <v>5200</v>
      </c>
      <c r="H12" s="11" t="n"/>
    </row>
    <row r="13">
      <c r="A13" s="5" t="n">
        <v>10</v>
      </c>
      <c r="B13" s="23" t="n">
        <v>45958</v>
      </c>
      <c r="C13" s="60" t="n">
        <v>224935.2285</v>
      </c>
      <c r="D13" s="60" t="n">
        <v>131811</v>
      </c>
      <c r="E13" s="59" t="n">
        <v>87274.23</v>
      </c>
      <c r="F13" s="59" t="inlineStr">
        <is>
          <t>-</t>
        </is>
      </c>
      <c r="G13" s="59" t="n">
        <v>5850</v>
      </c>
      <c r="H13" s="11" t="n"/>
    </row>
    <row r="14">
      <c r="A14" s="5" t="n">
        <v>11</v>
      </c>
      <c r="B14" s="23" t="n">
        <v>45960</v>
      </c>
      <c r="C14" s="60" t="n">
        <v>243661.2285</v>
      </c>
      <c r="D14" s="60" t="n">
        <v>141337</v>
      </c>
      <c r="E14" s="59" t="n">
        <v>87274.23</v>
      </c>
      <c r="F14" s="59" t="inlineStr">
        <is>
          <t>-</t>
        </is>
      </c>
      <c r="G14" s="59" t="n">
        <v>15050</v>
      </c>
      <c r="H14" s="11" t="n"/>
    </row>
    <row r="15">
      <c r="A15" s="5" t="n">
        <v>12</v>
      </c>
      <c r="B15" s="23" t="n">
        <v>45964</v>
      </c>
      <c r="C15" s="60" t="n">
        <v>235630.2285</v>
      </c>
      <c r="D15" s="60" t="n">
        <v>132106</v>
      </c>
      <c r="E15" s="59" t="n">
        <v>87274.23</v>
      </c>
      <c r="F15" s="59" t="inlineStr">
        <is>
          <t>-</t>
        </is>
      </c>
      <c r="G15" s="59" t="n">
        <v>16250</v>
      </c>
      <c r="H15" s="11" t="n"/>
    </row>
    <row r="16">
      <c r="A16" s="5" t="n">
        <v>13</v>
      </c>
      <c r="B16" s="23" t="n">
        <v>45967</v>
      </c>
      <c r="C16" s="60" t="n">
        <v>247279.91</v>
      </c>
      <c r="D16" s="60" t="n">
        <v>126518</v>
      </c>
      <c r="E16" s="59" t="n">
        <v>114911.91</v>
      </c>
      <c r="F16" s="59" t="inlineStr">
        <is>
          <t>-</t>
        </is>
      </c>
      <c r="G16" s="59" t="n">
        <v>5850</v>
      </c>
      <c r="H16" s="11" t="n"/>
    </row>
    <row r="17">
      <c r="A17" s="5" t="n">
        <v>14</v>
      </c>
      <c r="B17" s="23" t="n">
        <v>45969</v>
      </c>
      <c r="C17" s="60" t="n">
        <v>258849.91</v>
      </c>
      <c r="D17" s="60" t="n">
        <v>130838</v>
      </c>
      <c r="E17" s="59" t="n">
        <v>114911.91</v>
      </c>
      <c r="F17" s="59" t="inlineStr">
        <is>
          <t>-</t>
        </is>
      </c>
      <c r="G17" s="59" t="n">
        <v>13100</v>
      </c>
      <c r="H17" s="11" t="n"/>
    </row>
    <row r="18">
      <c r="A18" s="5" t="n">
        <v>15</v>
      </c>
      <c r="B18" s="23" t="n">
        <v>45971</v>
      </c>
      <c r="C18" s="60" t="n">
        <v>220289.2285</v>
      </c>
      <c r="D18" s="60" t="n">
        <v>131715</v>
      </c>
      <c r="E18" s="59" t="n">
        <v>87274.23</v>
      </c>
      <c r="F18" s="59" t="inlineStr">
        <is>
          <t>-</t>
        </is>
      </c>
      <c r="G18" s="59" t="n">
        <v>1300</v>
      </c>
      <c r="H18" s="11" t="n"/>
    </row>
    <row r="19">
      <c r="A19" s="5" t="n">
        <v>16</v>
      </c>
      <c r="B19" s="23" t="n">
        <v>45973</v>
      </c>
      <c r="C19" s="60" t="n">
        <v>247000.2285</v>
      </c>
      <c r="D19" s="60" t="n">
        <v>142776</v>
      </c>
      <c r="E19" s="59" t="n">
        <v>87274.23</v>
      </c>
      <c r="F19" s="59" t="inlineStr">
        <is>
          <t>-</t>
        </is>
      </c>
      <c r="G19" s="59" t="n">
        <v>16950</v>
      </c>
      <c r="H19" s="11" t="n"/>
    </row>
    <row r="20">
      <c r="A20" s="5" t="n">
        <v>17</v>
      </c>
      <c r="B20" s="23" t="n">
        <v>45981</v>
      </c>
      <c r="C20" s="60" t="n">
        <v>254527.2285</v>
      </c>
      <c r="D20" s="60" t="n">
        <v>146653</v>
      </c>
      <c r="E20" s="59" t="n">
        <v>87274.23</v>
      </c>
      <c r="F20" s="59" t="inlineStr">
        <is>
          <t>-</t>
        </is>
      </c>
      <c r="G20" s="59" t="n">
        <v>20600</v>
      </c>
      <c r="H20" s="11" t="n"/>
    </row>
    <row r="21">
      <c r="A21" s="5" t="n">
        <v>18</v>
      </c>
      <c r="B21" s="23" t="n">
        <v>45983</v>
      </c>
      <c r="C21" s="60" t="n">
        <v>304802.91</v>
      </c>
      <c r="D21" s="60" t="n">
        <v>152141</v>
      </c>
      <c r="E21" s="59" t="n">
        <v>114911.91</v>
      </c>
      <c r="F21" s="59" t="inlineStr">
        <is>
          <t>-</t>
        </is>
      </c>
      <c r="G21" s="59" t="n">
        <v>37750</v>
      </c>
      <c r="H21" s="11" t="n"/>
    </row>
    <row r="22">
      <c r="A22" s="5" t="n">
        <v>19</v>
      </c>
      <c r="B22" s="23" t="n">
        <v>46012</v>
      </c>
      <c r="C22" s="60" t="n">
        <v>262601.2531</v>
      </c>
      <c r="D22" s="60" t="n">
        <v>114843</v>
      </c>
      <c r="E22" s="59" t="n">
        <v>137258.25</v>
      </c>
      <c r="F22" s="59" t="inlineStr">
        <is>
          <t>-</t>
        </is>
      </c>
      <c r="G22" s="59" t="n">
        <v>10500</v>
      </c>
      <c r="H22" s="11" t="n"/>
    </row>
    <row r="23">
      <c r="A23" s="5" t="n">
        <v>20</v>
      </c>
      <c r="B23" s="23" t="n">
        <v>46014</v>
      </c>
      <c r="C23" s="60" t="n">
        <v>245159.0716</v>
      </c>
      <c r="D23" s="60" t="n">
        <v>142403</v>
      </c>
      <c r="E23" s="59" t="n">
        <v>95606.07000000001</v>
      </c>
      <c r="F23" s="59" t="inlineStr">
        <is>
          <t>-</t>
        </is>
      </c>
      <c r="G23" s="59" t="n">
        <v>7150</v>
      </c>
      <c r="H23" s="11" t="n"/>
    </row>
    <row r="24">
      <c r="A24" s="5" t="n">
        <v>21</v>
      </c>
      <c r="B24" s="23" t="n">
        <v>46017</v>
      </c>
      <c r="C24" s="60" t="n">
        <v>316249.2531</v>
      </c>
      <c r="D24" s="60" t="n">
        <v>145141</v>
      </c>
      <c r="E24" s="59" t="n">
        <v>137258.25</v>
      </c>
      <c r="F24" s="59" t="inlineStr">
        <is>
          <t>-</t>
        </is>
      </c>
      <c r="G24" s="59" t="n">
        <v>33850</v>
      </c>
      <c r="H24" s="11" t="n"/>
    </row>
    <row r="25">
      <c r="A25" s="5" t="n">
        <v>22</v>
      </c>
      <c r="B25" s="23" t="n">
        <v>46019</v>
      </c>
      <c r="C25" s="60" t="n">
        <v>284653.2531</v>
      </c>
      <c r="D25" s="60" t="n">
        <v>127245</v>
      </c>
      <c r="E25" s="59" t="n">
        <v>137258.25</v>
      </c>
      <c r="F25" s="59" t="inlineStr">
        <is>
          <t>-</t>
        </is>
      </c>
      <c r="G25" s="59" t="n">
        <v>20150</v>
      </c>
      <c r="H25" s="11" t="n"/>
    </row>
    <row r="26">
      <c r="A26" s="5" t="n">
        <v>23</v>
      </c>
      <c r="B26" s="23" t="n">
        <v>46034</v>
      </c>
      <c r="C26" s="60" t="n">
        <v>248343.0716</v>
      </c>
      <c r="D26" s="60" t="n">
        <v>148837</v>
      </c>
      <c r="E26" s="59" t="n">
        <v>95606.07000000001</v>
      </c>
      <c r="F26" s="59" t="inlineStr">
        <is>
          <t>-</t>
        </is>
      </c>
      <c r="G26" s="59" t="n">
        <v>3900</v>
      </c>
      <c r="H26" s="11" t="n"/>
    </row>
    <row r="27">
      <c r="A27" s="5" t="n">
        <v>24</v>
      </c>
      <c r="B27" s="23" t="n">
        <v>46046</v>
      </c>
      <c r="C27" s="60" t="n">
        <v>237240.2531</v>
      </c>
      <c r="D27" s="60" t="n">
        <v>94782</v>
      </c>
      <c r="E27" s="59" t="n">
        <v>137258.25</v>
      </c>
      <c r="F27" s="59" t="inlineStr">
        <is>
          <t>-</t>
        </is>
      </c>
      <c r="G27" s="59" t="n">
        <v>5200</v>
      </c>
      <c r="H27" s="11" t="n"/>
    </row>
    <row r="28">
      <c r="A28" s="5" t="n">
        <v>25</v>
      </c>
      <c r="B28" s="23" t="n">
        <v>46048</v>
      </c>
      <c r="C28" s="60" t="n">
        <v>290131.0716</v>
      </c>
      <c r="D28" s="60" t="n">
        <v>161975</v>
      </c>
      <c r="E28" s="59" t="n">
        <v>95606.07000000001</v>
      </c>
      <c r="F28" s="59" t="inlineStr">
        <is>
          <t>-</t>
        </is>
      </c>
      <c r="G28" s="59" t="n">
        <v>32550</v>
      </c>
      <c r="H28" s="11" t="n"/>
    </row>
    <row r="29">
      <c r="A29" s="5" t="n">
        <v>26</v>
      </c>
      <c r="B29" s="23" t="n">
        <v>46056</v>
      </c>
      <c r="C29" s="60" t="n">
        <v>310575.5161</v>
      </c>
      <c r="D29" s="60" t="n">
        <v>167381</v>
      </c>
      <c r="E29" s="59" t="n">
        <v>126294.52</v>
      </c>
      <c r="F29" s="59" t="inlineStr">
        <is>
          <t>-</t>
        </is>
      </c>
      <c r="G29" s="59" t="n">
        <v>16900</v>
      </c>
      <c r="H29" s="11" t="n"/>
    </row>
    <row r="30">
      <c r="A30" s="5" t="n">
        <v>27</v>
      </c>
      <c r="B30" s="23" t="n">
        <v>46063</v>
      </c>
      <c r="C30" s="60" t="n">
        <v>275927.5161</v>
      </c>
      <c r="D30" s="60" t="n">
        <v>145733</v>
      </c>
      <c r="E30" s="59" t="n">
        <v>126294.52</v>
      </c>
      <c r="F30" s="59" t="inlineStr">
        <is>
          <t>-</t>
        </is>
      </c>
      <c r="G30" s="59" t="n">
        <v>3900</v>
      </c>
      <c r="H30" s="11" t="n"/>
    </row>
    <row r="31">
      <c r="A31" s="5" t="n">
        <v>28</v>
      </c>
      <c r="B31" s="23" t="n">
        <v>46065</v>
      </c>
      <c r="C31" s="60" t="n">
        <v>314496.5161</v>
      </c>
      <c r="D31" s="60" t="n">
        <v>168002</v>
      </c>
      <c r="E31" s="59" t="n">
        <v>126294.52</v>
      </c>
      <c r="F31" s="59" t="inlineStr">
        <is>
          <t>-</t>
        </is>
      </c>
      <c r="G31" s="59" t="n">
        <v>20200</v>
      </c>
      <c r="H31" s="11" t="n"/>
    </row>
    <row r="32">
      <c r="A32" s="5" t="n">
        <v>29</v>
      </c>
      <c r="B32" s="23" t="n">
        <v>46071</v>
      </c>
      <c r="C32" s="60" t="n">
        <v>322205.5161</v>
      </c>
      <c r="D32" s="60" t="n">
        <v>173811</v>
      </c>
      <c r="E32" s="59" t="n">
        <v>126294.52</v>
      </c>
      <c r="F32" s="59" t="inlineStr">
        <is>
          <t>-</t>
        </is>
      </c>
      <c r="G32" s="59" t="n">
        <v>22100</v>
      </c>
      <c r="H32" s="11" t="n"/>
    </row>
    <row r="33">
      <c r="A33" s="5" t="n">
        <v>30</v>
      </c>
      <c r="B33" s="23" t="n">
        <v>46084</v>
      </c>
      <c r="C33" s="60" t="n">
        <v>286441.5161</v>
      </c>
      <c r="D33" s="60" t="n">
        <v>153647</v>
      </c>
      <c r="E33" s="59" t="n">
        <v>126294.52</v>
      </c>
      <c r="F33" s="59" t="inlineStr">
        <is>
          <t>-</t>
        </is>
      </c>
      <c r="G33" s="59" t="n">
        <v>6500</v>
      </c>
      <c r="H33" s="11" t="n"/>
    </row>
    <row r="34">
      <c r="A34" s="5" t="n">
        <v>31</v>
      </c>
      <c r="B34" s="23" t="n">
        <v>46086</v>
      </c>
      <c r="C34" s="60" t="n">
        <v>320541.5161</v>
      </c>
      <c r="D34" s="60" t="n">
        <v>169497</v>
      </c>
      <c r="E34" s="59" t="n">
        <v>126294.52</v>
      </c>
      <c r="F34" s="59" t="inlineStr">
        <is>
          <t>-</t>
        </is>
      </c>
      <c r="G34" s="59" t="n">
        <v>24750</v>
      </c>
      <c r="H34" s="11" t="n"/>
    </row>
    <row r="35">
      <c r="A35" s="5" t="n">
        <v>32</v>
      </c>
      <c r="B35" s="23" t="n">
        <v>46096</v>
      </c>
      <c r="C35" s="60" t="n">
        <v>266678.6976</v>
      </c>
      <c r="D35" s="60" t="n">
        <v>85082</v>
      </c>
      <c r="E35" s="59" t="n">
        <v>167946.7</v>
      </c>
      <c r="F35" s="59" t="inlineStr">
        <is>
          <t>-</t>
        </is>
      </c>
      <c r="G35" s="59" t="n">
        <v>13650</v>
      </c>
      <c r="H35" s="11" t="n"/>
    </row>
    <row r="36">
      <c r="A36" s="5" t="n">
        <v>33</v>
      </c>
      <c r="B36" s="23" t="n">
        <v>46098</v>
      </c>
      <c r="C36" s="60" t="n">
        <v>302185.5161</v>
      </c>
      <c r="D36" s="60" t="n">
        <v>164841</v>
      </c>
      <c r="E36" s="59" t="n">
        <v>126294.52</v>
      </c>
      <c r="F36" s="59" t="inlineStr">
        <is>
          <t>-</t>
        </is>
      </c>
      <c r="G36" s="59" t="n">
        <v>11050</v>
      </c>
      <c r="H36" s="11" t="n"/>
    </row>
    <row r="37">
      <c r="A37" s="5" t="n">
        <v>34</v>
      </c>
      <c r="B37" s="23" t="n">
        <v>46101</v>
      </c>
      <c r="C37" s="60" t="n">
        <v>265609.6976</v>
      </c>
      <c r="D37" s="60" t="n">
        <v>89863</v>
      </c>
      <c r="E37" s="59" t="n">
        <v>167946.7</v>
      </c>
      <c r="F37" s="59" t="inlineStr">
        <is>
          <t>-</t>
        </is>
      </c>
      <c r="G37" s="59" t="n">
        <v>7800</v>
      </c>
      <c r="H37" s="11" t="n"/>
    </row>
    <row r="38">
      <c r="A38" s="20" t="inlineStr">
        <is>
          <t>ПЛЕЙ-ОФФ</t>
        </is>
      </c>
      <c r="B38" s="21" t="n"/>
      <c r="C38" s="21" t="n"/>
      <c r="D38" s="21" t="n"/>
      <c r="E38" s="21" t="n"/>
      <c r="F38" s="21" t="n"/>
      <c r="G38" s="21" t="n"/>
      <c r="H38" s="22" t="n"/>
    </row>
    <row r="39">
      <c r="A39" s="5" t="n"/>
      <c r="B39" s="23" t="n">
        <v>46105</v>
      </c>
      <c r="C39" s="60" t="n">
        <v>927613</v>
      </c>
      <c r="D39" s="60" t="n">
        <v>919090</v>
      </c>
      <c r="E39" s="5" t="inlineStr">
        <is>
          <t>-</t>
        </is>
      </c>
      <c r="F39" s="5" t="inlineStr">
        <is>
          <t>-</t>
        </is>
      </c>
      <c r="G39" s="5" t="n">
        <v>8523</v>
      </c>
      <c r="H39" s="4" t="n"/>
    </row>
    <row r="40">
      <c r="A40" s="5" t="n"/>
      <c r="B40" s="23" t="n">
        <v>46107</v>
      </c>
      <c r="C40" s="60" t="n">
        <v>941910</v>
      </c>
      <c r="D40" s="60" t="n">
        <v>930546</v>
      </c>
      <c r="E40" s="5" t="inlineStr">
        <is>
          <t>-</t>
        </is>
      </c>
      <c r="F40" s="5" t="inlineStr">
        <is>
          <t>-</t>
        </is>
      </c>
      <c r="G40" s="5" t="n">
        <v>11364</v>
      </c>
      <c r="H40" s="4" t="n"/>
    </row>
    <row r="41">
      <c r="A41" s="5" t="n"/>
      <c r="B41" s="5" t="inlineStr">
        <is>
          <t>09.04.0206</t>
        </is>
      </c>
      <c r="C41" s="60" t="n">
        <v>1155421.5</v>
      </c>
      <c r="D41" s="60" t="n">
        <v>1119435.5</v>
      </c>
      <c r="E41" s="5" t="inlineStr">
        <is>
          <t>-</t>
        </is>
      </c>
      <c r="F41" s="5" t="inlineStr">
        <is>
          <t>-</t>
        </is>
      </c>
      <c r="G41" s="5" t="n">
        <v>35986</v>
      </c>
      <c r="H41" s="4" t="n"/>
    </row>
    <row r="42">
      <c r="A42" s="5" t="n"/>
      <c r="B42" s="23" t="n">
        <v>46123</v>
      </c>
      <c r="C42" s="60" t="n">
        <v>1216273</v>
      </c>
      <c r="D42" s="60" t="n">
        <v>1139615</v>
      </c>
      <c r="E42" s="5" t="inlineStr">
        <is>
          <t>-</t>
        </is>
      </c>
      <c r="F42" s="5" t="inlineStr">
        <is>
          <t>-</t>
        </is>
      </c>
      <c r="G42" s="56" t="n">
        <v>76658</v>
      </c>
      <c r="H42" s="57" t="inlineStr">
        <is>
          <t>35937 из лож - это ложа д8 для ак барс, может тогда в графе "реализованные билеты в ложу количество бьольше сделать?)</t>
        </is>
      </c>
    </row>
    <row r="43">
      <c r="A43" s="5" t="n"/>
      <c r="B43" s="5" t="n"/>
      <c r="C43" s="60" t="n"/>
      <c r="D43" s="60" t="n"/>
      <c r="E43" s="5" t="n"/>
      <c r="F43" s="5" t="n"/>
      <c r="G43" s="5" t="n"/>
      <c r="H43" s="4" t="n"/>
    </row>
    <row r="44">
      <c r="A44" s="5" t="n"/>
      <c r="B44" s="5" t="n"/>
      <c r="C44" s="60" t="n"/>
      <c r="D44" s="60" t="n"/>
      <c r="E44" s="5" t="n"/>
      <c r="F44" s="5" t="n"/>
      <c r="G44" s="5" t="n"/>
      <c r="H44" s="4" t="n"/>
    </row>
    <row r="45">
      <c r="A45" s="5" t="n"/>
      <c r="B45" s="5" t="n"/>
      <c r="C45" s="60" t="n"/>
      <c r="D45" s="60" t="n"/>
      <c r="E45" s="5" t="n"/>
      <c r="F45" s="5" t="n"/>
      <c r="G45" s="5" t="n"/>
      <c r="H45" s="4" t="n"/>
    </row>
    <row r="46"/>
    <row r="47"/>
    <row r="48">
      <c r="A48" s="31" t="inlineStr">
        <is>
          <t>* Если абонементы продавались на сезон или несколько матчей, то необходимо разделить полученный доход на количество игр и указать результат в поматчевой разбивке</t>
        </is>
      </c>
    </row>
    <row r="49">
      <c r="A49" s="31" t="inlineStr">
        <is>
          <t>** Места, в стоимость которых включен кейтеринг. Указывается только стоимость места без стоимости кейтеринга</t>
        </is>
      </c>
    </row>
    <row r="50">
      <c r="A50" s="31" t="inlineStr">
        <is>
          <t>*** Если ложи реализовывались на весь сезон или несколько матчей, то необходимо разделить полученный доход на количество игр и указать результат в поматчевой разбивке. Указывается только стоимость мест в ложе без стооимсти кейтеринга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topLeftCell="A2" workbookViewId="0">
      <selection activeCell="A12" sqref="A12"/>
    </sheetView>
  </sheetViews>
  <sheetFormatPr baseColWidth="8" defaultColWidth="11.125" defaultRowHeight="15.75"/>
  <cols>
    <col width="22.625" customWidth="1" style="68" min="1" max="1"/>
    <col width="13.5" customWidth="1" style="68" min="2" max="2"/>
    <col width="15" customWidth="1" style="34" min="3" max="4"/>
  </cols>
  <sheetData>
    <row r="1" ht="17.25" customHeight="1" s="68">
      <c r="A1" s="2" t="inlineStr">
        <is>
          <t>Реализация билетов через агентов *</t>
        </is>
      </c>
      <c r="B1" s="2" t="n"/>
      <c r="C1" s="32" t="n"/>
      <c r="D1" s="32" t="n"/>
      <c r="E1" s="2" t="n"/>
      <c r="F1" s="2" t="n"/>
      <c r="G1" s="2" t="n"/>
      <c r="H1" s="2" t="n"/>
      <c r="I1" s="2" t="n"/>
    </row>
    <row r="2" ht="15.95" customHeight="1" s="68">
      <c r="A2" s="63" t="inlineStr">
        <is>
          <t>Название агента</t>
        </is>
      </c>
      <c r="B2" s="63" t="inlineStr">
        <is>
          <t>Реализовано билетов на матчи, всего, шт.</t>
        </is>
      </c>
      <c r="C2" s="63" t="inlineStr">
        <is>
          <t>Доход клуба от реализации платных билетов на матч, руб.</t>
        </is>
      </c>
      <c r="D2" s="63" t="inlineStr">
        <is>
          <t>Размер агентской комиссии, %</t>
        </is>
      </c>
      <c r="E2" s="70" t="n"/>
      <c r="F2" s="69" t="n"/>
      <c r="G2" s="69" t="n"/>
    </row>
    <row r="3" ht="57" customHeight="1" s="68">
      <c r="A3" s="72" t="n"/>
      <c r="B3" s="72" t="n"/>
      <c r="C3" s="72" t="n"/>
      <c r="D3" s="72" t="n"/>
      <c r="E3" s="73" t="n"/>
    </row>
    <row r="4">
      <c r="A4" s="1" t="n"/>
      <c r="B4" s="14" t="n"/>
      <c r="C4" s="15" t="n"/>
      <c r="D4" s="16" t="n"/>
      <c r="E4" s="3" t="n"/>
      <c r="F4" s="3" t="n"/>
      <c r="G4" s="3" t="n"/>
    </row>
    <row r="5">
      <c r="A5" s="1" t="n"/>
      <c r="B5" s="14" t="n"/>
      <c r="C5" s="15" t="n"/>
      <c r="D5" s="16" t="n"/>
      <c r="E5" s="3" t="n"/>
      <c r="F5" s="3" t="n"/>
      <c r="G5" s="3" t="n"/>
    </row>
    <row r="6"/>
    <row r="7" ht="17.25" customHeight="1" s="68">
      <c r="A7" s="2" t="n"/>
      <c r="B7" s="2" t="n"/>
      <c r="C7" s="32" t="n"/>
      <c r="D7" s="32" t="n"/>
      <c r="E7" s="2" t="n"/>
      <c r="F7" s="2" t="n"/>
    </row>
    <row r="8" ht="17.25" customHeight="1" s="68">
      <c r="A8" s="2" t="inlineStr">
        <is>
          <t>Реализация билетов через каналы продаж *</t>
        </is>
      </c>
      <c r="B8" s="2" t="n"/>
      <c r="C8" s="32" t="n"/>
      <c r="D8" s="32" t="n"/>
      <c r="E8" s="2" t="n"/>
      <c r="F8" s="2" t="n"/>
    </row>
    <row r="9" ht="71.09999999999999" customHeight="1" s="68">
      <c r="A9" s="17" t="inlineStr">
        <is>
          <t>Канал продаж</t>
        </is>
      </c>
      <c r="B9" s="17" t="inlineStr">
        <is>
          <t>Реализовано билетов на матчи, всего, шт.</t>
        </is>
      </c>
      <c r="C9" s="35" t="inlineStr">
        <is>
          <t>Доход от реализации платных билетов на матч, руб.</t>
        </is>
      </c>
      <c r="D9" s="24" t="n"/>
      <c r="E9" s="24" t="n"/>
    </row>
    <row r="10">
      <c r="A10" s="1" t="inlineStr">
        <is>
          <t>Онлайн</t>
        </is>
      </c>
      <c r="B10" s="14" t="n"/>
      <c r="C10" s="33" t="n"/>
      <c r="D10" s="26" t="n"/>
      <c r="E10" s="27" t="n"/>
    </row>
    <row r="11">
      <c r="A11" s="4" t="inlineStr">
        <is>
          <t>Оффлайн</t>
        </is>
      </c>
      <c r="B11" s="4" t="n"/>
      <c r="C11" s="36" t="n"/>
    </row>
    <row r="12">
      <c r="A12" s="4" t="inlineStr">
        <is>
          <t>Через агентов онлайн</t>
        </is>
      </c>
      <c r="B12" s="4" t="n"/>
      <c r="C12" s="36" t="n"/>
    </row>
    <row r="13">
      <c r="A13" s="4" t="inlineStr">
        <is>
          <t>Через агентов оффлайн</t>
        </is>
      </c>
      <c r="B13" s="4" t="n"/>
      <c r="C13" s="36" t="n"/>
    </row>
    <row r="14"/>
    <row r="15">
      <c r="A15" t="inlineStr">
        <is>
          <t>* Необходимо указать данные за весь сезон (включая плей-офф)</t>
        </is>
      </c>
    </row>
  </sheetData>
  <mergeCells count="8">
    <mergeCell ref="C2:C3"/>
    <mergeCell ref="A6:F6"/>
    <mergeCell ref="A2:A3"/>
    <mergeCell ref="B2:B3"/>
    <mergeCell ref="D2:D3"/>
    <mergeCell ref="F2:F3"/>
    <mergeCell ref="E2:E3"/>
    <mergeCell ref="G2: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H64"/>
  <sheetViews>
    <sheetView workbookViewId="0">
      <selection activeCell="A1" sqref="A1"/>
    </sheetView>
  </sheetViews>
  <sheetFormatPr baseColWidth="8" defaultRowHeight="15"/>
  <cols>
    <col width="42" customWidth="1" style="68" min="2" max="2"/>
    <col width="18" customWidth="1" style="68" min="3" max="3"/>
    <col width="12" customWidth="1" style="68" min="4" max="4"/>
    <col width="46" customWidth="1" style="68" min="5" max="5"/>
  </cols>
  <sheetData>
    <row r="1">
      <c r="B1" s="74" t="inlineStr">
        <is>
          <t>Расчёт метрик билетной программы — сезон 2025/2026</t>
        </is>
      </c>
      <c r="C1" s="75" t="n"/>
      <c r="D1" s="75" t="n"/>
      <c r="E1" s="76" t="n"/>
    </row>
    <row r="2">
      <c r="B2" s="75" t="n"/>
      <c r="C2" s="75" t="n"/>
      <c r="D2" s="75" t="n"/>
      <c r="E2" s="76" t="n"/>
      <c r="G2" s="77" t="inlineStr">
        <is>
          <t>Вместимость арены, чел.:</t>
        </is>
      </c>
      <c r="H2" s="78" t="n">
        <v>15086</v>
      </c>
    </row>
    <row r="3">
      <c r="B3" s="79" t="inlineStr">
        <is>
          <t>1. Реализация билетов, шт.</t>
        </is>
      </c>
      <c r="C3" s="80" t="n"/>
      <c r="D3" s="80" t="n"/>
      <c r="E3" s="81" t="n"/>
      <c r="G3" s="77" t="inlineStr">
        <is>
          <t>Курс BYN→RUB (на 01.07.2025):</t>
        </is>
      </c>
      <c r="H3" s="82" t="n">
        <v>27</v>
      </c>
    </row>
    <row r="4">
      <c r="B4" s="83" t="inlineStr">
        <is>
          <t>Показатель</t>
        </is>
      </c>
      <c r="C4" s="83" t="inlineStr">
        <is>
          <t>Значение</t>
        </is>
      </c>
      <c r="D4" s="83" t="inlineStr">
        <is>
          <t>Ед.</t>
        </is>
      </c>
      <c r="E4" s="84" t="inlineStr">
        <is>
          <t>Формула / комментарий</t>
        </is>
      </c>
    </row>
    <row r="5">
      <c r="B5" s="85" t="inlineStr">
        <is>
          <t>Посещаемость за сезон (всего проходов)</t>
        </is>
      </c>
      <c r="C5" s="86">
        <f>(SUM('Реализованные билеты'!K5:K38)+0)</f>
        <v/>
      </c>
      <c r="D5" s="85" t="inlineStr">
        <is>
          <t>чел.</t>
        </is>
      </c>
      <c r="E5" s="87" t="inlineStr">
        <is>
          <t>гр. K — сумма разовых, абонементов, лож</t>
        </is>
      </c>
    </row>
    <row r="6">
      <c r="B6" s="85" t="inlineStr">
        <is>
          <t xml:space="preserve">   регулярный чемпионат</t>
        </is>
      </c>
      <c r="C6" s="86">
        <f>SUM('Реализованные билеты'!K5:K38)</f>
        <v/>
      </c>
      <c r="D6" s="85" t="inlineStr">
        <is>
          <t>чел.</t>
        </is>
      </c>
      <c r="E6" s="76" t="n"/>
    </row>
    <row r="7">
      <c r="B7" s="85" t="inlineStr">
        <is>
          <t xml:space="preserve">   плей-офф</t>
        </is>
      </c>
      <c r="C7" s="86">
        <f>0</f>
        <v/>
      </c>
      <c r="D7" s="85" t="inlineStr">
        <is>
          <t>чел.</t>
        </is>
      </c>
      <c r="E7" s="76" t="n"/>
    </row>
    <row r="8">
      <c r="B8" s="85" t="inlineStr">
        <is>
          <t>Платные билеты на матч (разовые)</t>
        </is>
      </c>
      <c r="C8" s="86">
        <f>(SUM('Реализованные билеты'!C5:C38)+0)</f>
        <v/>
      </c>
      <c r="D8" s="85" t="inlineStr">
        <is>
          <t>шт.</t>
        </is>
      </c>
      <c r="E8" s="87" t="inlineStr">
        <is>
          <t>гр. C</t>
        </is>
      </c>
    </row>
    <row r="9">
      <c r="B9" s="85" t="inlineStr">
        <is>
          <t>Бесплатные билеты на матч (разовые)</t>
        </is>
      </c>
      <c r="C9" s="86">
        <f>(SUM('Реализованные билеты'!D5:D38)+0)</f>
        <v/>
      </c>
      <c r="D9" s="85" t="inlineStr">
        <is>
          <t>шт.</t>
        </is>
      </c>
      <c r="E9" s="87" t="inlineStr">
        <is>
          <t>гр. D</t>
        </is>
      </c>
    </row>
    <row r="10">
      <c r="B10" s="85" t="inlineStr">
        <is>
          <t>Платных абонементов/пакетов (продано)</t>
        </is>
      </c>
      <c r="C10" s="86">
        <f>MAX(MAX('Реализованные билеты'!E5:E38),0)</f>
        <v/>
      </c>
      <c r="D10" s="85" t="inlineStr">
        <is>
          <t>шт.</t>
        </is>
      </c>
      <c r="E10" s="87" t="inlineStr">
        <is>
          <t>MAX действующих, гр. E</t>
        </is>
      </c>
    </row>
    <row r="11">
      <c r="B11" s="85" t="inlineStr">
        <is>
          <t>Бесплатных абонементов/пакетов (продано)</t>
        </is>
      </c>
      <c r="C11" s="86">
        <f>MAX(MAX('Реализованные билеты'!F5:F38),0)</f>
        <v/>
      </c>
      <c r="D11" s="85" t="inlineStr">
        <is>
          <t>шт.</t>
        </is>
      </c>
      <c r="E11" s="87" t="inlineStr">
        <is>
          <t>MAX по гр. F</t>
        </is>
      </c>
    </row>
    <row r="12">
      <c r="B12" s="85" t="inlineStr">
        <is>
          <t xml:space="preserve">   абонемент-посещения за сезон (справочно)</t>
        </is>
      </c>
      <c r="C12" s="86">
        <f>(SUM('Реализованные билеты'!E5:E38)+0)+(SUM('Реализованные билеты'!F5:F38)+0)</f>
        <v/>
      </c>
      <c r="D12" s="85" t="inlineStr">
        <is>
          <t>чел.</t>
        </is>
      </c>
      <c r="E12" s="76" t="n"/>
    </row>
    <row r="13">
      <c r="B13" s="85" t="inlineStr">
        <is>
          <t>Платные билеты в бизнес-клубы/рестораны</t>
        </is>
      </c>
      <c r="C13" s="86">
        <f>(SUM('Реализованные билеты'!G5:G38)+0)</f>
        <v/>
      </c>
      <c r="D13" s="85" t="inlineStr">
        <is>
          <t>шт.</t>
        </is>
      </c>
      <c r="E13" s="87" t="inlineStr">
        <is>
          <t>гр. G</t>
        </is>
      </c>
    </row>
    <row r="14">
      <c r="B14" s="85" t="inlineStr">
        <is>
          <t>Бесплатные билеты в бизнес-клубы/рестораны</t>
        </is>
      </c>
      <c r="C14" s="86">
        <f>(SUM('Реализованные билеты'!H5:H38)+0)</f>
        <v/>
      </c>
      <c r="D14" s="85" t="inlineStr">
        <is>
          <t>шт.</t>
        </is>
      </c>
      <c r="E14" s="87" t="inlineStr">
        <is>
          <t>гр. H</t>
        </is>
      </c>
    </row>
    <row r="15">
      <c r="B15" s="85" t="inlineStr">
        <is>
          <t>Платные места в ложах</t>
        </is>
      </c>
      <c r="C15" s="86">
        <f>(SUM('Реализованные билеты'!I5:I38)+0)</f>
        <v/>
      </c>
      <c r="D15" s="85" t="inlineStr">
        <is>
          <t>шт.</t>
        </is>
      </c>
      <c r="E15" s="87" t="inlineStr">
        <is>
          <t>гр. I</t>
        </is>
      </c>
    </row>
    <row r="16">
      <c r="B16" s="85" t="inlineStr">
        <is>
          <t>Бесплатные места в ложах</t>
        </is>
      </c>
      <c r="C16" s="86">
        <f>(SUM('Реализованные билеты'!J5:J38)+0)</f>
        <v/>
      </c>
      <c r="D16" s="85" t="inlineStr">
        <is>
          <t>шт.</t>
        </is>
      </c>
      <c r="E16" s="87" t="inlineStr">
        <is>
          <t>гр. J</t>
        </is>
      </c>
    </row>
    <row r="17">
      <c r="B17" s="85" t="inlineStr">
        <is>
          <t>Посещаемость по протоколу (за сезон)</t>
        </is>
      </c>
      <c r="C17" s="86">
        <f>(SUM('Реализованные билеты'!M5:M38)+0)</f>
        <v/>
      </c>
      <c r="D17" s="85" t="inlineStr">
        <is>
          <t>чел.</t>
        </is>
      </c>
      <c r="E17" s="87" t="inlineStr">
        <is>
          <t>гр. M — из официального протокола матча</t>
        </is>
      </c>
    </row>
    <row r="18">
      <c r="B18" s="85" t="inlineStr">
        <is>
          <t>Всего бесплатных билетов (без абонементов)</t>
        </is>
      </c>
      <c r="C18" s="86">
        <f>((SUM('Реализованные билеты'!D5:D38)+0)+(SUM('Реализованные билеты'!H5:H38)+0)+(SUM('Реализованные билеты'!J5:J38)+0))</f>
        <v/>
      </c>
      <c r="D18" s="85" t="inlineStr">
        <is>
          <t>шт.</t>
        </is>
      </c>
      <c r="E18" s="76" t="n"/>
    </row>
    <row r="19">
      <c r="B19" s="85" t="inlineStr">
        <is>
          <t>Доля бесплатных билетов</t>
        </is>
      </c>
      <c r="C19" s="88">
        <f>IFERROR(((SUM('Реализованные билеты'!D5:D38)+0)+(SUM('Реализованные билеты'!H5:H38)+0)+(SUM('Реализованные билеты'!J5:J38)+0))/((SUM('Реализованные билеты'!K5:K38)+0)-(SUM('Реализованные билеты'!E5:E38)+0)-(SUM('Реализованные билеты'!F5:F38)+0)),0)</f>
        <v/>
      </c>
      <c r="D19" s="85" t="inlineStr">
        <is>
          <t>%</t>
        </is>
      </c>
      <c r="E19" s="87" t="inlineStr">
        <is>
          <t>бесплатные / (проходы − абонементы)</t>
        </is>
      </c>
    </row>
    <row r="20">
      <c r="B20" s="85" t="inlineStr">
        <is>
          <t>Расхождение: факт − заявлено (билеты)</t>
        </is>
      </c>
      <c r="C20" s="86">
        <f>((SUM('Реализованные билеты'!M5:M38)+0)-(SUM('Реализованные билеты'!K5:K38)+0))</f>
        <v/>
      </c>
      <c r="D20" s="85" t="inlineStr">
        <is>
          <t>чел.</t>
        </is>
      </c>
      <c r="E20" s="87" t="inlineStr">
        <is>
          <t>посещаемость по протоколу − всего реализовано билетов</t>
        </is>
      </c>
    </row>
    <row r="21">
      <c r="B21" s="85" t="inlineStr">
        <is>
          <t>Матчей регулярного чемпионата</t>
        </is>
      </c>
      <c r="C21" s="86">
        <f>COUNT('Реализованные билеты'!A5:A38)</f>
        <v/>
      </c>
      <c r="D21" s="85" t="inlineStr">
        <is>
          <t>шт.</t>
        </is>
      </c>
      <c r="E21" s="76" t="n"/>
    </row>
    <row r="22">
      <c r="B22" s="85" t="inlineStr">
        <is>
          <t>Матчей плей-офф</t>
        </is>
      </c>
      <c r="C22" s="86">
        <f>0</f>
        <v/>
      </c>
      <c r="D22" s="85" t="inlineStr">
        <is>
          <t>шт.</t>
        </is>
      </c>
      <c r="E22" s="76" t="n"/>
    </row>
    <row r="23">
      <c r="B23" s="85" t="inlineStr">
        <is>
          <t>Средняя посещаемость (регулярка)</t>
        </is>
      </c>
      <c r="C23" s="86">
        <f>IFERROR(SUM('Реализованные билеты'!K5:K38)/COUNT('Реализованные билеты'!A5:A38),0)</f>
        <v/>
      </c>
      <c r="D23" s="85" t="inlineStr">
        <is>
          <t>зрит./матч</t>
        </is>
      </c>
      <c r="E23" s="76" t="n"/>
    </row>
    <row r="24">
      <c r="B24" s="85" t="inlineStr">
        <is>
          <t>Средняя посещаемость (плей-офф)</t>
        </is>
      </c>
      <c r="C24" s="86">
        <f>IFERROR(0/0,0)</f>
        <v/>
      </c>
      <c r="D24" s="85" t="inlineStr">
        <is>
          <t>зрит./матч</t>
        </is>
      </c>
      <c r="E24" s="76" t="n"/>
    </row>
    <row r="25">
      <c r="B25" s="85" t="inlineStr">
        <is>
          <t>Средняя посещаемость (сезон)</t>
        </is>
      </c>
      <c r="C25" s="86">
        <f>IFERROR((SUM('Реализованные билеты'!K5:K38)+0)/(COUNT('Реализованные билеты'!A5:A38)+0),0)</f>
        <v/>
      </c>
      <c r="D25" s="85" t="inlineStr">
        <is>
          <t>зрит./матч</t>
        </is>
      </c>
      <c r="E25" s="76" t="n"/>
    </row>
    <row r="26">
      <c r="B26" s="85" t="inlineStr">
        <is>
          <t>Расхождение факта с заявленным, %</t>
        </is>
      </c>
      <c r="C26" s="88">
        <f>IFERROR(((SUM('Реализованные билеты'!M5:M38)+0)-(SUM('Реализованные билеты'!K5:K38)+0))/(SUM('Реализованные билеты'!K5:K38)+0),0)</f>
        <v/>
      </c>
      <c r="D26" s="85" t="inlineStr">
        <is>
          <t>%</t>
        </is>
      </c>
      <c r="E26" s="87" t="inlineStr">
        <is>
          <t>(протокол − всего билетов) / всего билетов</t>
        </is>
      </c>
    </row>
    <row r="27">
      <c r="B27" s="85" t="inlineStr">
        <is>
          <t>Вместимость арены</t>
        </is>
      </c>
      <c r="C27" s="86">
        <f>$H$2</f>
        <v/>
      </c>
      <c r="D27" s="85" t="inlineStr">
        <is>
          <t>мест</t>
        </is>
      </c>
      <c r="E27" s="87" t="inlineStr">
        <is>
          <t>изменяемый параметр в ячейке H2</t>
        </is>
      </c>
    </row>
    <row r="28">
      <c r="B28" s="85" t="inlineStr">
        <is>
          <t>Суммарная посещаемость (регулярка)</t>
        </is>
      </c>
      <c r="C28" s="86">
        <f>SUM('Реализованные билеты'!K5:K38)</f>
        <v/>
      </c>
      <c r="D28" s="85" t="inlineStr">
        <is>
          <t>зрит.</t>
        </is>
      </c>
      <c r="E28" s="76" t="n"/>
    </row>
    <row r="29">
      <c r="B29" s="85" t="inlineStr">
        <is>
          <t>Теоретическая ёмкость (регулярка)</t>
        </is>
      </c>
      <c r="C29" s="86">
        <f>$H$2*COUNT('Реализованные билеты'!A5:A38)</f>
        <v/>
      </c>
      <c r="D29" s="85" t="inlineStr">
        <is>
          <t>мест</t>
        </is>
      </c>
      <c r="E29" s="76" t="n"/>
    </row>
    <row r="30">
      <c r="B30" s="85" t="inlineStr">
        <is>
          <t>Заполняемость арены (регулярка)</t>
        </is>
      </c>
      <c r="C30" s="88">
        <f>IFERROR((SUM('Реализованные билеты'!K5:K38)/COUNT('Реализованные билеты'!A5:A38))/$H$2,0)</f>
        <v/>
      </c>
      <c r="D30" s="85" t="inlineStr">
        <is>
          <t>%</t>
        </is>
      </c>
      <c r="E30" s="87" t="inlineStr">
        <is>
          <t>средняя посещаемость / вместимость</t>
        </is>
      </c>
    </row>
    <row r="31">
      <c r="B31" s="75" t="n"/>
      <c r="C31" s="75" t="n"/>
      <c r="D31" s="75" t="n"/>
      <c r="E31" s="76" t="n"/>
    </row>
    <row r="32">
      <c r="B32" s="79" t="inlineStr">
        <is>
          <t>2. Доход от реализации билетов, руб. РФ (пересчёт по курсу H3)</t>
        </is>
      </c>
      <c r="C32" s="80" t="n"/>
      <c r="D32" s="80" t="n"/>
      <c r="E32" s="81" t="n"/>
    </row>
    <row r="33">
      <c r="B33" s="83" t="inlineStr">
        <is>
          <t>Показатель</t>
        </is>
      </c>
      <c r="C33" s="83" t="inlineStr">
        <is>
          <t>Значение</t>
        </is>
      </c>
      <c r="D33" s="83" t="inlineStr">
        <is>
          <t>Ед.</t>
        </is>
      </c>
      <c r="E33" s="84" t="inlineStr">
        <is>
          <t>Формула / комментарий</t>
        </is>
      </c>
    </row>
    <row r="34">
      <c r="B34" s="85" t="inlineStr">
        <is>
          <t>Доход — всего за сезон</t>
        </is>
      </c>
      <c r="C34" s="89">
        <f>((SUM('Доход от реализации билетов'!C4:C37)+0))*$H$3</f>
        <v/>
      </c>
      <c r="D34" s="85" t="inlineStr">
        <is>
          <t>руб. РФ</t>
        </is>
      </c>
      <c r="E34" s="87" t="inlineStr">
        <is>
          <t>гр. C (пересчёт по курсу H3)</t>
        </is>
      </c>
    </row>
    <row r="35">
      <c r="B35" s="85" t="inlineStr">
        <is>
          <t xml:space="preserve">   регулярный чемпионат</t>
        </is>
      </c>
      <c r="C35" s="89">
        <f>(SUM('Доход от реализации билетов'!C4:C37))*$H$3</f>
        <v/>
      </c>
      <c r="D35" s="85" t="inlineStr">
        <is>
          <t>руб. РФ</t>
        </is>
      </c>
      <c r="E35" s="76" t="n"/>
    </row>
    <row r="36">
      <c r="B36" s="85" t="inlineStr">
        <is>
          <t xml:space="preserve">   плей-офф</t>
        </is>
      </c>
      <c r="C36" s="89">
        <f>(0)*$H$3</f>
        <v/>
      </c>
      <c r="D36" s="85" t="inlineStr">
        <is>
          <t>руб. РФ</t>
        </is>
      </c>
      <c r="E36" s="76" t="n"/>
    </row>
    <row r="37">
      <c r="B37" s="85" t="inlineStr">
        <is>
          <t>Доход от платных билетов</t>
        </is>
      </c>
      <c r="C37" s="89">
        <f>((SUM('Доход от реализации билетов'!D4:D37)+0))*$H$3</f>
        <v/>
      </c>
      <c r="D37" s="85" t="inlineStr">
        <is>
          <t>руб. РФ</t>
        </is>
      </c>
      <c r="E37" s="87" t="inlineStr">
        <is>
          <t>гр. D (пересчёт по курсу H3)</t>
        </is>
      </c>
    </row>
    <row r="38">
      <c r="B38" s="85" t="inlineStr">
        <is>
          <t>Доход от абонементов/пакетов</t>
        </is>
      </c>
      <c r="C38" s="89">
        <f>((SUM('Доход от реализации билетов'!E4:E37)+0))*$H$3</f>
        <v/>
      </c>
      <c r="D38" s="85" t="inlineStr">
        <is>
          <t>руб. РФ</t>
        </is>
      </c>
      <c r="E38" s="87" t="inlineStr">
        <is>
          <t>гр. E (пересчёт по курсу H3)</t>
        </is>
      </c>
    </row>
    <row r="39">
      <c r="B39" s="85" t="inlineStr">
        <is>
          <t>Стоимость абонемента (за сезон)</t>
        </is>
      </c>
      <c r="C39" s="89">
        <f>(IFERROR((SUM('Доход от реализации билетов'!E4:E37)+0)/MAX(MAX('Реализованные билеты'!E5:E38),0),0))*$H$3</f>
        <v/>
      </c>
      <c r="D39" s="85" t="inlineStr">
        <is>
          <t>руб. РФ</t>
        </is>
      </c>
      <c r="E39" s="87" t="inlineStr">
        <is>
          <t>доход абон. / число владельцев (пересчёт по курсу H3)</t>
        </is>
      </c>
    </row>
    <row r="40">
      <c r="B40" s="85" t="inlineStr">
        <is>
          <t>Доход от бизнес-клубов/ресторанов</t>
        </is>
      </c>
      <c r="C40" s="89">
        <f>((SUM('Доход от реализации билетов'!F4:F37)+0))*$H$3</f>
        <v/>
      </c>
      <c r="D40" s="85" t="inlineStr">
        <is>
          <t>руб. РФ</t>
        </is>
      </c>
      <c r="E40" s="87" t="inlineStr">
        <is>
          <t>гр. F (пересчёт по курсу H3)</t>
        </is>
      </c>
    </row>
    <row r="41">
      <c r="B41" s="85" t="inlineStr">
        <is>
          <t>Доход от лож</t>
        </is>
      </c>
      <c r="C41" s="89">
        <f>((SUM('Доход от реализации билетов'!G4:G37)+0))*$H$3</f>
        <v/>
      </c>
      <c r="D41" s="85" t="inlineStr">
        <is>
          <t>руб. РФ</t>
        </is>
      </c>
      <c r="E41" s="87" t="inlineStr">
        <is>
          <t>гр. G (пересчёт по курсу H3)</t>
        </is>
      </c>
    </row>
    <row r="42">
      <c r="B42" s="75" t="n"/>
      <c r="C42" s="75" t="n"/>
      <c r="D42" s="75" t="n"/>
      <c r="E42" s="76" t="n"/>
    </row>
    <row r="43">
      <c r="B43" s="85" t="inlineStr">
        <is>
          <t>Средняя цена платного билета (регулярка)</t>
        </is>
      </c>
      <c r="C43" s="89">
        <f>(IFERROR(SUM('Доход от реализации билетов'!D4:D37)/SUM('Реализованные билеты'!C5:C38),0))*$H$3</f>
        <v/>
      </c>
      <c r="D43" s="85" t="inlineStr">
        <is>
          <t>руб. РФ</t>
        </is>
      </c>
      <c r="E43" s="87" t="inlineStr">
        <is>
          <t>доход платн. / платные билеты (пересчёт по курсу H3)</t>
        </is>
      </c>
    </row>
    <row r="44">
      <c r="B44" s="85" t="inlineStr">
        <is>
          <t>Средняя цена платного билета (сезон)</t>
        </is>
      </c>
      <c r="C44" s="89">
        <f>(IFERROR((SUM('Доход от реализации билетов'!D4:D37)+0)/(SUM('Реализованные билеты'!C5:C38)+0),0))*$H$3</f>
        <v/>
      </c>
      <c r="D44" s="85" t="inlineStr">
        <is>
          <t>руб. РФ</t>
        </is>
      </c>
      <c r="E44" s="87" t="inlineStr">
        <is>
          <t>(пересчёт по курсу H3)</t>
        </is>
      </c>
    </row>
    <row r="45">
      <c r="B45" s="75" t="n"/>
      <c r="C45" s="75" t="n"/>
      <c r="D45" s="75" t="n"/>
      <c r="E45" s="76" t="n"/>
    </row>
    <row r="46">
      <c r="B46" s="79" t="inlineStr">
        <is>
          <t>3. Каналы продаж</t>
        </is>
      </c>
      <c r="C46" s="80" t="n"/>
      <c r="D46" s="80" t="n"/>
      <c r="E46" s="81" t="n"/>
    </row>
    <row r="47">
      <c r="B47" s="83" t="inlineStr">
        <is>
          <t>Показатель</t>
        </is>
      </c>
      <c r="C47" s="83" t="inlineStr">
        <is>
          <t>Значение</t>
        </is>
      </c>
      <c r="D47" s="83" t="inlineStr">
        <is>
          <t>Ед.</t>
        </is>
      </c>
      <c r="E47" s="84" t="inlineStr">
        <is>
          <t>Формула / комментарий</t>
        </is>
      </c>
    </row>
    <row r="48">
      <c r="B48" s="85" t="inlineStr">
        <is>
          <t>Продажи онлайн</t>
        </is>
      </c>
      <c r="C48" s="86">
        <f>(IF(ISNUMBER('Агенты и онлайн продажи'!B10),'Агенты и онлайн продажи'!B10,0)+IF(ISNUMBER('Агенты и онлайн продажи'!B12),'Агенты и онлайн продажи'!B12,0))</f>
        <v/>
      </c>
      <c r="D48" s="85" t="inlineStr">
        <is>
          <t>шт.</t>
        </is>
      </c>
      <c r="E48" s="76" t="n"/>
    </row>
    <row r="49">
      <c r="B49" s="85" t="inlineStr">
        <is>
          <t>Продажи оффлайн</t>
        </is>
      </c>
      <c r="C49" s="86">
        <f>(IF(ISNUMBER('Агенты и онлайн продажи'!B11),'Агенты и онлайн продажи'!B11,0)+IF(ISNUMBER('Агенты и онлайн продажи'!B13),'Агенты и онлайн продажи'!B13,0))</f>
        <v/>
      </c>
      <c r="D49" s="85" t="inlineStr">
        <is>
          <t>шт.</t>
        </is>
      </c>
      <c r="E49" s="76" t="n"/>
    </row>
    <row r="50">
      <c r="B50" s="85" t="inlineStr">
        <is>
          <t>Всего по каналам</t>
        </is>
      </c>
      <c r="C50" s="86">
        <f>((IF(ISNUMBER('Агенты и онлайн продажи'!B10),'Агенты и онлайн продажи'!B10,0)+IF(ISNUMBER('Агенты и онлайн продажи'!B12),'Агенты и онлайн продажи'!B12,0))+(IF(ISNUMBER('Агенты и онлайн продажи'!B11),'Агенты и онлайн продажи'!B11,0)+IF(ISNUMBER('Агенты и онлайн продажи'!B13),'Агенты и онлайн продажи'!B13,0)))</f>
        <v/>
      </c>
      <c r="D50" s="85" t="inlineStr">
        <is>
          <t>шт.</t>
        </is>
      </c>
      <c r="E50" s="76" t="n"/>
    </row>
    <row r="51">
      <c r="B51" s="85" t="inlineStr">
        <is>
          <t>Доля онлайн-продаж</t>
        </is>
      </c>
      <c r="C51" s="88">
        <f>IF(((IF(ISNUMBER('Агенты и онлайн продажи'!B10),'Агенты и онлайн продажи'!B10,0)+IF(ISNUMBER('Агенты и онлайн продажи'!B12),'Агенты и онлайн продажи'!B12,0))+(IF(ISNUMBER('Агенты и онлайн продажи'!B11),'Агенты и онлайн продажи'!B11,0)+IF(ISNUMBER('Агенты и онлайн продажи'!B13),'Агенты и онлайн продажи'!B13,0)))=0,"нет данных",(IF(ISNUMBER('Агенты и онлайн продажи'!B10),'Агенты и онлайн продажи'!B10,0)+IF(ISNUMBER('Агенты и онлайн продажи'!B12),'Агенты и онлайн продажи'!B12,0))/((IF(ISNUMBER('Агенты и онлайн продажи'!B10),'Агенты и онлайн продажи'!B10,0)+IF(ISNUMBER('Агенты и онлайн продажи'!B12),'Агенты и онлайн продажи'!B12,0))+(IF(ISNUMBER('Агенты и онлайн продажи'!B11),'Агенты и онлайн продажи'!B11,0)+IF(ISNUMBER('Агенты и онлайн продажи'!B13),'Агенты и онлайн продажи'!B13,0))))</f>
        <v/>
      </c>
      <c r="D51" s="85" t="inlineStr">
        <is>
          <t>%</t>
        </is>
      </c>
      <c r="E51" s="76" t="n"/>
    </row>
    <row r="52">
      <c r="B52" s="85" t="inlineStr">
        <is>
          <t>Агентская комиссия (средняя по агентам)</t>
        </is>
      </c>
      <c r="C52" s="88">
        <f>IFERROR(AVERAGE('Агенты и онлайн продажи'!D4:D7)/100,0)</f>
        <v/>
      </c>
      <c r="D52" s="85" t="inlineStr">
        <is>
          <t>%</t>
        </is>
      </c>
      <c r="E52" s="87" t="inlineStr">
        <is>
          <t>среднее по столбцу комиссии; пустые/« - » не учитываются</t>
        </is>
      </c>
    </row>
    <row r="53">
      <c r="B53" s="75" t="n"/>
      <c r="C53" s="75" t="n"/>
      <c r="D53" s="75" t="n"/>
      <c r="E53" s="76" t="n"/>
    </row>
    <row r="54">
      <c r="B54" s="79" t="inlineStr">
        <is>
          <t>4. Диагностика данных</t>
        </is>
      </c>
      <c r="C54" s="80" t="n"/>
      <c r="D54" s="80" t="n"/>
      <c r="E54" s="81" t="n"/>
    </row>
    <row r="55">
      <c r="B55" s="90" t="inlineStr">
        <is>
          <t>Показатель</t>
        </is>
      </c>
      <c r="C55" s="90" t="inlineStr">
        <is>
          <t>Статус</t>
        </is>
      </c>
      <c r="D55" s="90" t="inlineStr">
        <is>
          <t>Комментарий</t>
        </is>
      </c>
      <c r="E55" s="76" t="n"/>
    </row>
    <row r="56">
      <c r="B56" s="85" t="inlineStr">
        <is>
          <t>Средний чек платного билета</t>
        </is>
      </c>
      <c r="C56" s="85">
        <f>IF(AND(C44&gt;=300,C44&lt;=1600),"в норме","проверить")</f>
        <v/>
      </c>
      <c r="D56" s="91">
        <f>IF(AND(C44&gt;=300,C44&lt;=1600),"норма 300–1600 ₽","вне нормы 300–1600 ₽")</f>
        <v/>
      </c>
      <c r="E56" s="76" t="n"/>
    </row>
    <row r="57">
      <c r="B57" s="85" t="inlineStr">
        <is>
          <t>Доля бесплатных билетов</t>
        </is>
      </c>
      <c r="C57" s="85">
        <f>IF(C19&lt;=0.3,"в норме","проверить")</f>
        <v/>
      </c>
      <c r="D57" s="91">
        <f>"порог 30%"</f>
        <v/>
      </c>
      <c r="E57" s="76" t="n"/>
    </row>
    <row r="58">
      <c r="B58" s="85" t="inlineStr">
        <is>
          <t>Заполняемость арены (регулярка)</t>
        </is>
      </c>
      <c r="C58" s="85">
        <f>IF(C30&lt;=1.05,"в норме","проверить")</f>
        <v/>
      </c>
      <c r="D58" s="91">
        <f>"при вместимости "&amp;TEXT($H$2,"#,##0")</f>
        <v/>
      </c>
      <c r="E58" s="76" t="n"/>
    </row>
    <row r="59">
      <c r="B59" s="85" t="inlineStr">
        <is>
          <t>Стоимость абонемента</t>
        </is>
      </c>
      <c r="C59" s="85">
        <f>IF(AND(C39&gt;=3000,C39&lt;=150000),"в норме","проверить")</f>
        <v/>
      </c>
      <c r="D59" s="91">
        <f>"доход абон. / число владельцев"</f>
        <v/>
      </c>
      <c r="E59" s="76" t="n"/>
    </row>
    <row r="60">
      <c r="B60" s="85" t="inlineStr">
        <is>
          <t>Средняя цена платного билета (сезон)</t>
        </is>
      </c>
      <c r="C60" s="85">
        <f>IF(AND(C44&gt;=300,C44&lt;=1600),"в норме","проверить")</f>
        <v/>
      </c>
      <c r="D60" s="91">
        <f>"норма 300–1600 ₽"</f>
        <v/>
      </c>
      <c r="E60" s="76" t="n"/>
    </row>
    <row r="61">
      <c r="B61" s="75" t="n"/>
      <c r="C61" s="75" t="n"/>
      <c r="D61" s="75" t="n"/>
      <c r="E61" s="76" t="n"/>
    </row>
    <row r="62">
      <c r="B62" s="85" t="inlineStr">
        <is>
          <t>Матчи плей-офф</t>
        </is>
      </c>
      <c r="C62" s="85">
        <f>0</f>
        <v/>
      </c>
      <c r="D62" s="75" t="n"/>
      <c r="E62" s="76" t="n"/>
    </row>
    <row r="63">
      <c r="B63" s="75" t="n"/>
      <c r="C63" s="75" t="n"/>
      <c r="D63" s="75" t="n"/>
      <c r="E63" s="76" t="n"/>
    </row>
    <row r="64">
      <c r="B64" s="91" t="inlineStr">
        <is>
          <t>Значения рассчитаны формулами со ссылками на исходные листы; метрики пересчитываются автоматически при изменении данных.</t>
        </is>
      </c>
      <c r="C64" s="75" t="n"/>
      <c r="D64" s="75" t="n"/>
      <c r="E64" s="7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Garkunov, Yuriy</dc:creator>
  <dcterms:created xmlns:dcterms="http://purl.org/dc/terms/" xmlns:xsi="http://www.w3.org/2001/XMLSchema-instance" xsi:type="dcterms:W3CDTF">2022-04-20T14:47:10Z</dcterms:created>
  <dcterms:modified xmlns:dcterms="http://purl.org/dc/terms/" xmlns:xsi="http://www.w3.org/2001/XMLSchema-instance" xsi:type="dcterms:W3CDTF">2026-08-02T17:55:47Z</dcterms:modified>
  <cp:lastModifiedBy>User</cp:lastModifiedBy>
  <cp:lastPrinted>2024-05-08T06:53:09Z</cp:lastPrinted>
</cp:coreProperties>
</file>