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Комментарий</t>
        </is>
      </c>
      <c r="M2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/>
      <c r="M5" s="11" t="n">
        <v>0</v>
      </c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/>
      <c r="M6" s="11" t="n">
        <v>0</v>
      </c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/>
      <c r="M7" s="11" t="n">
        <v>0</v>
      </c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/>
      <c r="M8" s="11" t="n">
        <v>0</v>
      </c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/>
      <c r="M9" s="11" t="n">
        <v>0</v>
      </c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/>
      <c r="M10" s="11" t="n">
        <v>0</v>
      </c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/>
      <c r="M11" s="11" t="n">
        <v>0</v>
      </c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/>
      <c r="M12" s="11" t="n">
        <v>0</v>
      </c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/>
      <c r="M13" s="11" t="n">
        <v>0</v>
      </c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/>
      <c r="M14" s="11" t="n">
        <v>0</v>
      </c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/>
      <c r="M15" s="11" t="n">
        <v>0</v>
      </c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/>
      <c r="M16" s="11" t="n">
        <v>0</v>
      </c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/>
      <c r="M17" s="11" t="n">
        <v>0</v>
      </c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/>
      <c r="M18" s="11" t="n">
        <v>0</v>
      </c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/>
      <c r="M19" s="11" t="n">
        <v>0</v>
      </c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/>
      <c r="M20" s="11" t="n">
        <v>0</v>
      </c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/>
      <c r="M21" s="11" t="n">
        <v>0</v>
      </c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/>
      <c r="M22" s="11" t="n">
        <v>0</v>
      </c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/>
      <c r="M23" s="11" t="n">
        <v>0</v>
      </c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/>
      <c r="M24" s="11" t="n">
        <v>0</v>
      </c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/>
      <c r="M25" s="11" t="n">
        <v>0</v>
      </c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/>
      <c r="M26" s="11" t="n">
        <v>0</v>
      </c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/>
      <c r="M27" s="11" t="n">
        <v>0</v>
      </c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/>
      <c r="M28" s="11" t="n">
        <v>0</v>
      </c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/>
      <c r="M29" s="11" t="n">
        <v>0</v>
      </c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/>
      <c r="M30" s="11" t="n">
        <v>0</v>
      </c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/>
      <c r="M31" s="11" t="n">
        <v>0</v>
      </c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/>
      <c r="M32" s="11" t="n">
        <v>0</v>
      </c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/>
      <c r="M33" s="11" t="n">
        <v>0</v>
      </c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/>
      <c r="M34" s="11" t="n">
        <v>0</v>
      </c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/>
      <c r="M35" s="11" t="n">
        <v>0</v>
      </c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/>
      <c r="M36" s="11" t="n">
        <v>0</v>
      </c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/>
      <c r="M37" s="11" t="n">
        <v>0</v>
      </c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/>
      <c r="M38" s="11" t="n">
        <v>0</v>
      </c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/>
      <c r="M40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/>
      <c r="M41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/>
      <c r="M42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/>
      <c r="M43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/>
      <c r="M4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/>
      <c r="M45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/>
      <c r="M46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/>
      <c r="M47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/>
      <c r="M48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/>
      <c r="M49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inlineStr">
        <is>
          <t xml:space="preserve"> - </t>
        </is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билеты'!M5:M38)+SUM('Реализованные билеты'!M40:M49))</f>
        <v/>
      </c>
      <c r="D17" s="63" t="inlineStr">
        <is>
          <t>чел.</t>
        </is>
      </c>
      <c r="E17" s="65" t="inlineStr">
        <is>
          <t>гр. M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Расхождение: факт − заявлено (билеты)</t>
        </is>
      </c>
      <c r="C20" s="64">
        <f>((SUM('Реализованные билеты'!M5:M38)+SUM('Реализованные билеты'!M40:M49))-(SUM('Реализованные билеты'!K5:K38)+SUM('Реализованные билеты'!K40:K49)))</f>
        <v/>
      </c>
      <c r="D20" s="63" t="inlineStr">
        <is>
          <t>чел.</t>
        </is>
      </c>
      <c r="E20" s="65" t="inlineStr">
        <is>
          <t>посещаемость по протоколу − всего реализовано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63" t="inlineStr">
        <is>
          <t>Расхождение факта с заявленным, %</t>
        </is>
      </c>
      <c r="C26" s="66">
        <f>IFERROR(((SUM('Реализованные билеты'!M5:M38)+SUM('Реализованные билеты'!M40:M49))-(SUM('Реализованные билеты'!K5:K38)+SUM('Реализованные билеты'!K40:K49)))/(SUM('Реализованные билеты'!K5:K38)+SUM('Реализованные билеты'!K40:K49)),0)</f>
        <v/>
      </c>
      <c r="D26" s="63" t="inlineStr">
        <is>
          <t>%</t>
        </is>
      </c>
      <c r="E26" s="65" t="inlineStr">
        <is>
          <t>(протокол − всего билетов) / всего билетов</t>
        </is>
      </c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</t>
        </is>
      </c>
      <c r="C52" s="66">
        <f>IF(ISNUMBER('Агенты и онлайн продажи'!D3),'Агенты и онлайн продажи'!D3/100,"нет данных")</f>
        <v/>
      </c>
      <c r="D52" s="63" t="inlineStr">
        <is>
          <t>%</t>
        </is>
      </c>
      <c r="E52" s="55" t="n"/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2026-08-01T21:21:29Z</dcterms:modified>
  <cp:lastModifiedBy>Сафиуллин Айрат Альбертович</cp:lastModifiedBy>
  <cp:lastPrinted>2024-05-08T06:53:09Z</cp:lastPrinted>
</cp:coreProperties>
</file>