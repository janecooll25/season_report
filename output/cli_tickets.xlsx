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FAQ по заполнению" sheetId="1" state="visible" r:id="rId1"/>
    <sheet xmlns:r="http://schemas.openxmlformats.org/officeDocument/2006/relationships" name="Реализованные билеты" sheetId="2" state="visible" r:id="rId2"/>
    <sheet xmlns:r="http://schemas.openxmlformats.org/officeDocument/2006/relationships" name="Доход от реализации билетов" sheetId="3" state="visible" r:id="rId3"/>
    <sheet xmlns:r="http://schemas.openxmlformats.org/officeDocument/2006/relationships" name="Агенты и онлайн продажи" sheetId="4" state="visible" r:id="rId4"/>
    <sheet xmlns:r="http://schemas.openxmlformats.org/officeDocument/2006/relationships" name="Расчеты" sheetId="5" state="visible" r:id="rId5"/>
  </sheets>
  <definedNames>
    <definedName name="_xlnm.Print_Area" localSheetId="1">'Реализованные билеты'!$A$1:$M$49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₽&quot;"/>
  </numFmts>
  <fonts count="17">
    <font>
      <name val="Calibri"/>
      <charset val="204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charset val="204"/>
      <family val="2"/>
      <sz val="12"/>
    </font>
    <font>
      <name val="Calibri (Основной текст)"/>
      <charset val="204"/>
      <b val="1"/>
      <color rgb="FF0070C0"/>
      <sz val="16"/>
    </font>
    <font>
      <name val="Calibri (Основной текст)"/>
      <charset val="204"/>
      <color theme="1"/>
      <sz val="16"/>
    </font>
    <font>
      <name val="Calibri (Основной текст)"/>
      <charset val="204"/>
      <b val="1"/>
      <color theme="1"/>
      <sz val="16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rgb="FF9C5700"/>
      <sz val="11"/>
      <scheme val="minor"/>
    </font>
    <font>
      <name val="Times New Roman"/>
      <charset val="204"/>
      <family val="1"/>
      <sz val="12"/>
    </font>
    <font>
      <name val="Arial"/>
      <b val="1"/>
    </font>
    <font>
      <name val="Arial"/>
      <b val="1"/>
      <color rgb="000000FF"/>
    </font>
    <font>
      <name val="Arial"/>
      <b val="1"/>
      <sz val="13"/>
    </font>
    <font>
      <name val="Arial"/>
      <b val="1"/>
      <color rgb="00FFFFFF"/>
      <sz val="11"/>
    </font>
    <font>
      <name val="Arial"/>
    </font>
    <font>
      <name val="Arial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000B5CAD"/>
      </patternFill>
    </fill>
    <fill>
      <patternFill patternType="solid">
        <fgColor rgb="00E2E5EA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8" fillId="0" borderId="0"/>
    <xf numFmtId="0" fontId="9" fillId="3" borderId="0"/>
  </cellStyleXfs>
  <cellXfs count="70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0" pivotButton="0" quotePrefix="0" xfId="0"/>
    <xf numFmtId="3" fontId="0" fillId="0" borderId="1" applyAlignment="1" pivotButton="0" quotePrefix="0" xfId="0">
      <alignment horizontal="center"/>
    </xf>
    <xf numFmtId="3" fontId="0" fillId="0" borderId="9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14" fontId="10" fillId="0" borderId="1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center" vertical="center"/>
    </xf>
    <xf numFmtId="3" fontId="0" fillId="0" borderId="11" applyAlignment="1" pivotButton="0" quotePrefix="0" xfId="0">
      <alignment horizontal="center" vertical="center"/>
    </xf>
    <xf numFmtId="1" fontId="8" fillId="2" borderId="1" applyAlignment="1" pivotButton="0" quotePrefix="0" xfId="1">
      <alignment horizontal="center" vertical="center"/>
    </xf>
    <xf numFmtId="3" fontId="0" fillId="0" borderId="0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3" fontId="0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3" fontId="12" fillId="0" borderId="0" pivotButton="0" quotePrefix="0" xfId="0"/>
    <xf numFmtId="0" fontId="14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164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2">
    <cellStyle name="Обычный" xfId="0" builtinId="0"/>
    <cellStyle name="Нейтральный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2" sqref="A2"/>
    </sheetView>
  </sheetViews>
  <sheetFormatPr baseColWidth="8" defaultColWidth="11" defaultRowHeight="15.75"/>
  <cols>
    <col width="119.125" customWidth="1" style="48" min="1" max="1"/>
  </cols>
  <sheetData>
    <row r="1" ht="20.25" customHeight="1" s="48">
      <c r="A1" s="33" t="inlineStr">
        <is>
          <t>FAQ по заполнению вкладки «Реализованные билеты»</t>
        </is>
      </c>
    </row>
    <row r="2" ht="162" customHeight="1" s="48">
      <c r="A2" s="34" t="inlineStr">
        <is>
          <t>1. Какие данные нужно заполнять?
По каждому матчу необходимо указать:
•	Дату игры
•	Количество реализованных платных и бесплатных билетов
•	Количество действующих платных и бесплатных абонементов/пакетов
•	Количество реализованных платных и бесплатных билетов в бизнес-клубах и ресторанах
•	Количество реализованных платных и бесплатных билетов в ложах - в случае реализации лож на весь сезон, сезонная стоимость ложи делится на количество матчей</t>
        </is>
      </c>
    </row>
    <row r="3" ht="121.5" customHeight="1" s="48">
      <c r="A3" s="34" t="inlineStr">
        <is>
          <t>2. Что входит в итоговую строку "Реализовано билетов, всего"?
Общее количество всех реализованных билетов на соответствующий матч (сумма колонок C-J):
•	Платные и бесплатные билеты
•	Абонементы и пакеты
•	Билеты в бизнес-клубы и ложи</t>
        </is>
      </c>
    </row>
    <row r="4" ht="60.75" customHeight="1" s="48">
      <c r="A4" s="34" t="inlineStr">
        <is>
          <t xml:space="preserve">3. Что такое "бизнес-клубы и рестораны"? 
Это специальные места, которые обычно реализуются вместе с услугой кейтеринга (без учета лож). Если такие билеты не реализовываются, то укажите 0. </t>
        </is>
      </c>
    </row>
    <row r="5" ht="60.75" customHeight="1" s="48">
      <c r="A5" s="34" t="inlineStr">
        <is>
          <t>4. Что писать в колонке "Комментарий"? 
Любые необходимые пояснения по конкретному матчу (например, возможные ограничения по количеству зрителей, пояснения касательно билетной программы матча и т.п.).</t>
        </is>
      </c>
    </row>
    <row r="6" ht="20.25" customHeight="1" s="48">
      <c r="A6" s="35" t="n"/>
    </row>
    <row r="7" ht="20.25" customHeight="1" s="48">
      <c r="A7" s="33" t="inlineStr">
        <is>
          <t>FAQ по заполнению вкладки «Доход от реализации билетов»</t>
        </is>
      </c>
    </row>
    <row r="8" ht="162" customHeight="1" s="48">
      <c r="A8" s="34" t="inlineStr">
        <is>
          <t>1. Какие данные нужно заполнять?
По каждому матчу указываются:
•	Общая сумма дохода от реализации
•	Сумма дохода от реализации платных билетов
•	Сумма дохода от реализации абонементов/пакетов
•	Сумма дохода от реализации мест в бизнес-клубах и ресторанах (без учета стоимости кейтеринга)
•	Сумма дохода от реализации мест в ложах (без учета стоимости кейтеринга)</t>
        </is>
      </c>
    </row>
    <row r="9" ht="81" customHeight="1" s="48">
      <c r="A9" s="34" t="inlineStr">
        <is>
          <t>2. Что такое бизнес-клубы и рестораны? 
Это специальные зоны на арене с повышенным уровнем комфорта и доступом к кейтерингу. В отчёте указывается только доход от продажи мест, без учёта стоимости питания. Если такие билеты не реализовываются, то укажите 0.</t>
        </is>
      </c>
    </row>
    <row r="10" ht="81" customHeight="1" s="48">
      <c r="A10" s="34" t="inlineStr">
        <is>
          <t>3. Как указывать доход от абонементов/пакетов, лож, реализованных на весь сезон или его часть? 
Необходимо разделить общую сумму дохода от реализации на количество матчей и указать долю, приходящуюся на конкретный матч.</t>
        </is>
      </c>
    </row>
    <row r="11" ht="60.75" customHeight="1" s="48">
      <c r="A11" s="34" t="inlineStr">
        <is>
          <t>4. Учитывать ли стоимость кейтеринга в доходах от бизнес-клубов и лож? 
Нет. В отчёте указывается только стоимость мест, без учёта расходов на питание и обслуживание.</t>
        </is>
      </c>
    </row>
    <row r="12" ht="40.5" customHeight="1" s="48">
      <c r="A12" s="34" t="inlineStr">
        <is>
          <t>5. Что писать в комментариях?
Любые пояснения</t>
        </is>
      </c>
    </row>
    <row r="13" ht="20.25" customHeight="1" s="48">
      <c r="A13" s="33" t="n"/>
    </row>
    <row r="14" ht="20.25" customHeight="1" s="48">
      <c r="A14" s="33" t="inlineStr">
        <is>
          <t>FAQ по заполнению вкладки «Агенты и онлайн продажи»</t>
        </is>
      </c>
    </row>
    <row r="15" ht="101.25" customHeight="1" s="48">
      <c r="A15" s="34" t="inlineStr">
        <is>
          <t>1. Какие данные нужно заполнять?
•	Количество и доход от билетов, проданных через каждого агента
•	Количество и доход от билетов, проданных онлайн (через сайт/приложение клуба или партнёров)
•	Количество и доход от билетов, проданных оффлайн (в кассах клуба или партнёра)</t>
        </is>
      </c>
    </row>
    <row r="16" ht="81" customHeight="1" s="48">
      <c r="A16" s="34" t="inlineStr">
        <is>
          <t>2. Что считается агентской продажей? 
Продажа через сторонние онлайн-платформы (например, Kassir, Ticketland и др.) или кассы партнеров (в том числе в некоторых случая – кассы спортсооружения), у которых с клубом заключён соответствующий договор.</t>
        </is>
      </c>
    </row>
    <row r="17" ht="101.25" customHeight="1" s="48">
      <c r="A17" s="34" t="inlineStr">
        <is>
          <t>3. Как учитывать онлайн-продажи? 
Учитываются продажи через:
•	официальный сайт клуба
•	мобильное приложение клуба
•	онлайн-платформы по прямому договору</t>
        </is>
      </c>
    </row>
    <row r="18" ht="60.75" customHeight="1" s="48">
      <c r="A18" s="34" t="inlineStr">
        <is>
          <t>4. Как учитывать оффлайн продажи? 
Все билеты, приобретенные в кассах клуба, арены или партнера, указываются в строке «оффлайн» или «через агентов оффлайн»</t>
        </is>
      </c>
    </row>
    <row r="19" ht="40.5" customHeight="1" s="48">
      <c r="A19" s="34" t="inlineStr">
        <is>
          <t>5. Что писать в комментариях?
Любые пояснения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tabSelected="1" workbookViewId="0">
      <selection activeCell="D19" sqref="D19"/>
    </sheetView>
  </sheetViews>
  <sheetFormatPr baseColWidth="8" defaultColWidth="11" defaultRowHeight="15.75"/>
  <cols>
    <col width="5.125" customWidth="1" style="6" min="1" max="1"/>
    <col width="12.5" customWidth="1" style="6" min="2" max="2"/>
    <col width="13" customWidth="1" style="7" min="3" max="3"/>
    <col width="13" customWidth="1" style="48" min="4" max="10"/>
    <col width="15.125" customWidth="1" style="48" min="11" max="11"/>
    <col width="19.625" customWidth="1" style="48" min="12" max="12"/>
  </cols>
  <sheetData>
    <row r="1" ht="17.1" customFormat="1" customHeight="1" s="2">
      <c r="A1" s="16" t="inlineStr">
        <is>
          <t>Поматчевая реализация</t>
        </is>
      </c>
      <c r="B1" s="16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 ht="80.09999999999999" customHeight="1" s="48">
      <c r="A2" s="45" t="inlineStr">
        <is>
          <t>№ игры</t>
        </is>
      </c>
      <c r="B2" s="45" t="inlineStr">
        <is>
          <t>Дата</t>
        </is>
      </c>
      <c r="C2" s="45" t="inlineStr">
        <is>
          <t>Реализовано платных билетов на матч, шт.</t>
        </is>
      </c>
      <c r="D2" s="45" t="inlineStr">
        <is>
          <t>Реализовано бесплатных билетов на матч, шт.</t>
        </is>
      </c>
      <c r="E2" s="45" t="inlineStr">
        <is>
          <t>Действующие на матч платные абонементы/ пакеты, шт.</t>
        </is>
      </c>
      <c r="F2" s="45" t="inlineStr">
        <is>
          <t>Действующие на матч бесплатные абонементы/ пакеты, шт.</t>
        </is>
      </c>
      <c r="G2" s="45" t="inlineStr">
        <is>
          <t>Реализовано платных билетов в бизнес-клубы и рестораны на матч, шт. *</t>
        </is>
      </c>
      <c r="H2" s="45" t="inlineStr">
        <is>
          <t>Реализовано  бесплатных билетов в бизнес-клубы и рестораны на матч, шт. *</t>
        </is>
      </c>
      <c r="I2" s="45" t="inlineStr">
        <is>
          <t>Реализоавано платных мест в ложах, шт.</t>
        </is>
      </c>
      <c r="J2" s="45" t="inlineStr">
        <is>
          <t>Реализоавано бесплатных мест в ложах, шт.</t>
        </is>
      </c>
      <c r="K2" s="45" t="inlineStr">
        <is>
          <t>Реализовано билетов на матч, всего, шт.</t>
        </is>
      </c>
      <c r="L2" s="44" t="inlineStr">
        <is>
          <t>Комментарий</t>
        </is>
      </c>
    </row>
    <row r="3" ht="15.95" customHeight="1" s="48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</row>
    <row r="4" ht="15.75" customHeight="1" s="48">
      <c r="A4" s="32" t="inlineStr">
        <is>
          <t>РЕГУЛЯРНЫЙ ЧЕМПИОНАТ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</row>
    <row r="5" ht="15.95" customHeight="1" s="48">
      <c r="A5" s="5" t="n">
        <v>1</v>
      </c>
      <c r="B5" s="36" t="n">
        <v>45910</v>
      </c>
      <c r="C5" s="9" t="n">
        <v>5439</v>
      </c>
      <c r="D5" s="38" t="n">
        <v>289</v>
      </c>
      <c r="E5" s="9" t="n">
        <v>2444</v>
      </c>
      <c r="F5" s="9" t="n">
        <v>188</v>
      </c>
      <c r="G5" s="38" t="n">
        <v>0</v>
      </c>
      <c r="H5" s="9" t="n">
        <v>63</v>
      </c>
      <c r="I5" s="9" t="n">
        <v>316</v>
      </c>
      <c r="J5" s="9" t="n">
        <v>60</v>
      </c>
      <c r="K5" s="8">
        <f>SUM(C5:J5)</f>
        <v/>
      </c>
      <c r="L5" s="10" t="n"/>
      <c r="M5" s="11" t="n"/>
    </row>
    <row r="6">
      <c r="A6" s="5" t="n">
        <v>2</v>
      </c>
      <c r="B6" s="36" t="n">
        <v>45914</v>
      </c>
      <c r="C6" s="9" t="n">
        <v>5449</v>
      </c>
      <c r="D6" s="38" t="n">
        <v>329</v>
      </c>
      <c r="E6" s="9" t="n">
        <v>2453</v>
      </c>
      <c r="F6" s="9" t="n">
        <v>188</v>
      </c>
      <c r="G6" s="38" t="n">
        <v>10</v>
      </c>
      <c r="H6" s="9" t="n">
        <v>63</v>
      </c>
      <c r="I6" s="9" t="n">
        <v>316</v>
      </c>
      <c r="J6" s="9" t="n">
        <v>60</v>
      </c>
      <c r="K6" s="8">
        <f>SUM(C6:J6)</f>
        <v/>
      </c>
      <c r="L6" s="10" t="n"/>
      <c r="M6" s="11" t="n"/>
    </row>
    <row r="7" ht="15.95" customHeight="1" s="48">
      <c r="A7" s="5" t="n">
        <v>3</v>
      </c>
      <c r="B7" s="36" t="n">
        <v>45917</v>
      </c>
      <c r="C7" s="9" t="n">
        <v>3851</v>
      </c>
      <c r="D7" s="38" t="n">
        <v>1126</v>
      </c>
      <c r="E7" s="9" t="n">
        <v>2458</v>
      </c>
      <c r="F7" s="9" t="n">
        <v>188</v>
      </c>
      <c r="G7" s="38" t="n">
        <v>0</v>
      </c>
      <c r="H7" s="9" t="n">
        <v>63</v>
      </c>
      <c r="I7" s="9" t="n">
        <v>316</v>
      </c>
      <c r="J7" s="9" t="n">
        <v>60</v>
      </c>
      <c r="K7" s="8">
        <f>SUM(C7:J7)</f>
        <v/>
      </c>
      <c r="L7" s="10" t="n"/>
      <c r="M7" s="11" t="n"/>
    </row>
    <row r="8">
      <c r="A8" s="5" t="n">
        <v>4</v>
      </c>
      <c r="B8" s="36" t="n">
        <v>45919</v>
      </c>
      <c r="C8" s="9" t="n">
        <v>5441</v>
      </c>
      <c r="D8" s="38" t="n">
        <v>323</v>
      </c>
      <c r="E8" s="9" t="n">
        <v>2463</v>
      </c>
      <c r="F8" s="9" t="n">
        <v>188</v>
      </c>
      <c r="G8" s="38" t="n">
        <v>0</v>
      </c>
      <c r="H8" s="9" t="n">
        <v>63</v>
      </c>
      <c r="I8" s="9" t="n">
        <v>316</v>
      </c>
      <c r="J8" s="9" t="n">
        <v>60</v>
      </c>
      <c r="K8" s="8">
        <f>SUM(C8:J8)</f>
        <v/>
      </c>
      <c r="L8" s="10" t="n"/>
      <c r="M8" s="11" t="n"/>
    </row>
    <row r="9" ht="15.95" customHeight="1" s="48">
      <c r="A9" s="5" t="n">
        <v>5</v>
      </c>
      <c r="B9" s="36" t="n">
        <v>45921</v>
      </c>
      <c r="C9" s="9" t="n">
        <v>5362</v>
      </c>
      <c r="D9" s="38" t="n">
        <v>370</v>
      </c>
      <c r="E9" s="9" t="n">
        <v>2463</v>
      </c>
      <c r="F9" s="9" t="n">
        <v>188</v>
      </c>
      <c r="G9" s="38" t="n">
        <v>10</v>
      </c>
      <c r="H9" s="9" t="n">
        <v>63</v>
      </c>
      <c r="I9" s="9" t="n">
        <v>316</v>
      </c>
      <c r="J9" s="9" t="n">
        <v>60</v>
      </c>
      <c r="K9" s="8">
        <f>SUM(C9:J9)</f>
        <v/>
      </c>
      <c r="L9" s="10" t="n"/>
      <c r="M9" s="11" t="n"/>
    </row>
    <row r="10">
      <c r="A10" s="5" t="n">
        <v>6</v>
      </c>
      <c r="B10" s="36" t="n">
        <v>45933</v>
      </c>
      <c r="C10" s="9" t="n">
        <v>4164</v>
      </c>
      <c r="D10" s="38" t="n">
        <v>1181</v>
      </c>
      <c r="E10" s="9" t="n">
        <v>2466</v>
      </c>
      <c r="F10" s="9" t="n">
        <v>188</v>
      </c>
      <c r="G10" s="38" t="n">
        <v>10</v>
      </c>
      <c r="H10" s="9" t="n">
        <v>63</v>
      </c>
      <c r="I10" s="9" t="n">
        <v>316</v>
      </c>
      <c r="J10" s="9" t="n">
        <v>60</v>
      </c>
      <c r="K10" s="8">
        <f>SUM(C10:J10)</f>
        <v/>
      </c>
      <c r="L10" s="10" t="n"/>
      <c r="M10" s="11" t="n"/>
    </row>
    <row r="11" ht="15.95" customHeight="1" s="48">
      <c r="A11" s="5" t="n">
        <v>7</v>
      </c>
      <c r="B11" s="36" t="n">
        <v>45935</v>
      </c>
      <c r="C11" s="9" t="n">
        <v>4207</v>
      </c>
      <c r="D11" s="38" t="n">
        <v>1174</v>
      </c>
      <c r="E11" s="9" t="n">
        <v>2466</v>
      </c>
      <c r="F11" s="9" t="n">
        <v>188</v>
      </c>
      <c r="G11" s="38" t="n">
        <v>0</v>
      </c>
      <c r="H11" s="9" t="n">
        <v>63</v>
      </c>
      <c r="I11" s="9" t="n">
        <v>316</v>
      </c>
      <c r="J11" s="9" t="n">
        <v>60</v>
      </c>
      <c r="K11" s="8">
        <f>SUM(C11:J11)</f>
        <v/>
      </c>
      <c r="L11" s="10" t="n"/>
      <c r="M11" s="11" t="n"/>
    </row>
    <row r="12">
      <c r="A12" s="5" t="n">
        <v>8</v>
      </c>
      <c r="B12" s="36" t="n">
        <v>45937</v>
      </c>
      <c r="C12" s="9" t="n">
        <v>3572</v>
      </c>
      <c r="D12" s="38" t="n">
        <v>1818</v>
      </c>
      <c r="E12" s="9" t="n">
        <v>2466</v>
      </c>
      <c r="F12" s="9" t="n">
        <v>188</v>
      </c>
      <c r="G12" s="38" t="n">
        <v>0</v>
      </c>
      <c r="H12" s="9" t="n">
        <v>63</v>
      </c>
      <c r="I12" s="9" t="n">
        <v>316</v>
      </c>
      <c r="J12" s="9" t="n">
        <v>60</v>
      </c>
      <c r="K12" s="8">
        <f>SUM(C12:J12)</f>
        <v/>
      </c>
      <c r="L12" s="10" t="n"/>
      <c r="M12" s="11" t="n"/>
    </row>
    <row r="13" ht="15.95" customHeight="1" s="48">
      <c r="A13" s="5" t="n">
        <v>9</v>
      </c>
      <c r="B13" s="36" t="n">
        <v>45952</v>
      </c>
      <c r="C13" s="9" t="n">
        <v>5419</v>
      </c>
      <c r="D13" s="38" t="n">
        <v>325</v>
      </c>
      <c r="E13" s="9" t="n">
        <v>2466</v>
      </c>
      <c r="F13" s="9" t="n">
        <v>188</v>
      </c>
      <c r="G13" s="38" t="n">
        <v>10</v>
      </c>
      <c r="H13" s="9" t="n">
        <v>63</v>
      </c>
      <c r="I13" s="9" t="n">
        <v>316</v>
      </c>
      <c r="J13" s="9" t="n">
        <v>60</v>
      </c>
      <c r="K13" s="8">
        <f>SUM(C13:J13)</f>
        <v/>
      </c>
      <c r="L13" s="10" t="n"/>
      <c r="M13" s="11" t="n"/>
    </row>
    <row r="14">
      <c r="A14" s="5" t="n">
        <v>10</v>
      </c>
      <c r="B14" s="36" t="n">
        <v>45955</v>
      </c>
      <c r="C14" s="9" t="n">
        <v>5395</v>
      </c>
      <c r="D14" s="38" t="n">
        <v>384</v>
      </c>
      <c r="E14" s="9" t="n">
        <v>2470</v>
      </c>
      <c r="F14" s="9" t="n">
        <v>188</v>
      </c>
      <c r="G14" s="38" t="n">
        <v>0</v>
      </c>
      <c r="H14" s="9" t="n">
        <v>63</v>
      </c>
      <c r="I14" s="9" t="n">
        <v>316</v>
      </c>
      <c r="J14" s="9" t="n">
        <v>60</v>
      </c>
      <c r="K14" s="8">
        <f>SUM(C14:J14)</f>
        <v/>
      </c>
      <c r="L14" s="10" t="n"/>
      <c r="M14" s="11" t="n"/>
    </row>
    <row r="15" ht="15.95" customHeight="1" s="48">
      <c r="A15" s="5" t="n">
        <v>11</v>
      </c>
      <c r="B15" s="36" t="n">
        <v>45957</v>
      </c>
      <c r="C15" s="9" t="n">
        <v>5168</v>
      </c>
      <c r="D15" s="38" t="n">
        <v>595</v>
      </c>
      <c r="E15" s="9" t="n">
        <v>2470</v>
      </c>
      <c r="F15" s="9" t="n">
        <v>188</v>
      </c>
      <c r="G15" s="38" t="n">
        <v>10</v>
      </c>
      <c r="H15" s="9" t="n">
        <v>63</v>
      </c>
      <c r="I15" s="9" t="n">
        <v>316</v>
      </c>
      <c r="J15" s="9" t="n">
        <v>60</v>
      </c>
      <c r="K15" s="8">
        <f>SUM(C15:J15)</f>
        <v/>
      </c>
      <c r="L15" s="10" t="n"/>
      <c r="M15" s="11" t="n"/>
    </row>
    <row r="16">
      <c r="A16" s="5" t="n">
        <v>12</v>
      </c>
      <c r="B16" s="36" t="n">
        <v>45959</v>
      </c>
      <c r="C16" s="9" t="n">
        <v>5424</v>
      </c>
      <c r="D16" s="38" t="n">
        <v>346</v>
      </c>
      <c r="E16" s="9" t="n">
        <v>2470</v>
      </c>
      <c r="F16" s="9" t="n">
        <v>188</v>
      </c>
      <c r="G16" s="38" t="n">
        <v>0</v>
      </c>
      <c r="H16" s="9" t="n">
        <v>63</v>
      </c>
      <c r="I16" s="9" t="n">
        <v>316</v>
      </c>
      <c r="J16" s="9" t="n">
        <v>60</v>
      </c>
      <c r="K16" s="8">
        <f>SUM(C16:J16)</f>
        <v/>
      </c>
      <c r="L16" s="10" t="n"/>
      <c r="M16" s="11" t="n"/>
    </row>
    <row r="17" ht="15.95" customHeight="1" s="48">
      <c r="A17" s="5" t="n">
        <v>13</v>
      </c>
      <c r="B17" s="36" t="n">
        <v>45962</v>
      </c>
      <c r="C17" s="9" t="n">
        <v>5445</v>
      </c>
      <c r="D17" s="38" t="n">
        <v>333</v>
      </c>
      <c r="E17" s="9" t="n">
        <v>2472</v>
      </c>
      <c r="F17" s="9" t="n">
        <v>188</v>
      </c>
      <c r="G17" s="38" t="n">
        <v>10</v>
      </c>
      <c r="H17" s="9" t="n">
        <v>63</v>
      </c>
      <c r="I17" s="9" t="n">
        <v>316</v>
      </c>
      <c r="J17" s="9" t="n">
        <v>60</v>
      </c>
      <c r="K17" s="8">
        <f>SUM(C17:J17)</f>
        <v/>
      </c>
      <c r="L17" s="10" t="n"/>
      <c r="M17" s="11" t="n"/>
    </row>
    <row r="18">
      <c r="A18" s="5" t="n">
        <v>14</v>
      </c>
      <c r="B18" s="36" t="n">
        <v>45974</v>
      </c>
      <c r="C18" s="9" t="n">
        <v>5318</v>
      </c>
      <c r="D18" s="38" t="n">
        <v>406</v>
      </c>
      <c r="E18" s="9" t="n">
        <v>2479</v>
      </c>
      <c r="F18" s="9" t="n">
        <v>188</v>
      </c>
      <c r="G18" s="38" t="n">
        <v>0</v>
      </c>
      <c r="H18" s="9" t="n">
        <v>63</v>
      </c>
      <c r="I18" s="9" t="n">
        <v>316</v>
      </c>
      <c r="J18" s="9" t="n">
        <v>60</v>
      </c>
      <c r="K18" s="8">
        <f>SUM(C18:J18)</f>
        <v/>
      </c>
      <c r="L18" s="10" t="n"/>
      <c r="M18" s="11" t="n"/>
    </row>
    <row r="19" ht="15.95" customHeight="1" s="48">
      <c r="A19" s="5" t="n">
        <v>15</v>
      </c>
      <c r="B19" s="36" t="n">
        <v>45977</v>
      </c>
      <c r="C19" s="9" t="n">
        <v>5398</v>
      </c>
      <c r="D19" s="38" t="n">
        <v>377</v>
      </c>
      <c r="E19" s="9" t="n">
        <v>2479</v>
      </c>
      <c r="F19" s="9" t="n">
        <v>188</v>
      </c>
      <c r="G19" s="38" t="n">
        <v>0</v>
      </c>
      <c r="H19" s="9" t="n">
        <v>63</v>
      </c>
      <c r="I19" s="9" t="n">
        <v>316</v>
      </c>
      <c r="J19" s="9" t="n">
        <v>60</v>
      </c>
      <c r="K19" s="8">
        <f>SUM(C19:J19)</f>
        <v/>
      </c>
      <c r="L19" s="10" t="n"/>
      <c r="M19" s="11" t="n"/>
    </row>
    <row r="20">
      <c r="A20" s="5" t="n">
        <v>16</v>
      </c>
      <c r="B20" s="36" t="n">
        <v>45979</v>
      </c>
      <c r="C20" s="9" t="n">
        <v>5362</v>
      </c>
      <c r="D20" s="38" t="n">
        <v>386</v>
      </c>
      <c r="E20" s="9" t="n">
        <v>2479</v>
      </c>
      <c r="F20" s="9" t="n">
        <v>188</v>
      </c>
      <c r="G20" s="38" t="n">
        <v>0</v>
      </c>
      <c r="H20" s="9" t="n">
        <v>63</v>
      </c>
      <c r="I20" s="9" t="n">
        <v>316</v>
      </c>
      <c r="J20" s="9" t="n">
        <v>60</v>
      </c>
      <c r="K20" s="8">
        <f>SUM(C20:J20)</f>
        <v/>
      </c>
      <c r="L20" s="10" t="n"/>
      <c r="M20" s="11" t="n"/>
    </row>
    <row r="21" ht="15.95" customHeight="1" s="48">
      <c r="A21" s="5" t="n">
        <v>17</v>
      </c>
      <c r="B21" s="36" t="n">
        <v>45989</v>
      </c>
      <c r="C21" s="9" t="n">
        <v>5381</v>
      </c>
      <c r="D21" s="38" t="n">
        <v>365</v>
      </c>
      <c r="E21" s="9" t="n">
        <v>2479</v>
      </c>
      <c r="F21" s="9" t="n">
        <v>188</v>
      </c>
      <c r="G21" s="38" t="n">
        <v>0</v>
      </c>
      <c r="H21" s="9" t="n">
        <v>63</v>
      </c>
      <c r="I21" s="9" t="n">
        <v>316</v>
      </c>
      <c r="J21" s="9" t="n">
        <v>60</v>
      </c>
      <c r="K21" s="8">
        <f>SUM(C21:J21)</f>
        <v/>
      </c>
      <c r="L21" s="10" t="n"/>
      <c r="M21" s="11" t="n"/>
    </row>
    <row r="22">
      <c r="A22" s="5" t="n">
        <v>18</v>
      </c>
      <c r="B22" s="36" t="n">
        <v>45991</v>
      </c>
      <c r="C22" s="9" t="n">
        <v>5422</v>
      </c>
      <c r="D22" s="38" t="n">
        <v>327</v>
      </c>
      <c r="E22" s="9" t="n">
        <v>2433</v>
      </c>
      <c r="F22" s="9" t="n">
        <v>188</v>
      </c>
      <c r="G22" s="38" t="n">
        <v>0</v>
      </c>
      <c r="H22" s="9" t="n">
        <v>63</v>
      </c>
      <c r="I22" s="9" t="n">
        <v>316</v>
      </c>
      <c r="J22" s="9" t="n">
        <v>60</v>
      </c>
      <c r="K22" s="8">
        <f>SUM(C22:J22)</f>
        <v/>
      </c>
      <c r="L22" s="10" t="n"/>
      <c r="M22" s="11" t="n"/>
    </row>
    <row r="23" ht="15.95" customHeight="1" s="48">
      <c r="A23" s="5" t="n">
        <v>19</v>
      </c>
      <c r="B23" s="36" t="n">
        <v>45994</v>
      </c>
      <c r="C23" s="9" t="n">
        <v>5451</v>
      </c>
      <c r="D23" s="38" t="n">
        <v>334</v>
      </c>
      <c r="E23" s="9" t="n">
        <v>2439</v>
      </c>
      <c r="F23" s="9" t="n">
        <v>188</v>
      </c>
      <c r="G23" s="38" t="n">
        <v>0</v>
      </c>
      <c r="H23" s="9" t="n">
        <v>63</v>
      </c>
      <c r="I23" s="9" t="n">
        <v>316</v>
      </c>
      <c r="J23" s="9" t="n">
        <v>60</v>
      </c>
      <c r="K23" s="8">
        <f>SUM(C23:J23)</f>
        <v/>
      </c>
      <c r="L23" s="10" t="n"/>
      <c r="M23" s="11" t="n"/>
    </row>
    <row r="24">
      <c r="A24" s="5" t="n">
        <v>20</v>
      </c>
      <c r="B24" s="36" t="n">
        <v>46007</v>
      </c>
      <c r="C24" s="9" t="n">
        <v>5400</v>
      </c>
      <c r="D24" s="38" t="n">
        <v>366</v>
      </c>
      <c r="E24" s="9" t="n">
        <v>2441</v>
      </c>
      <c r="F24" s="9" t="n">
        <v>188</v>
      </c>
      <c r="G24" s="38" t="n">
        <v>10</v>
      </c>
      <c r="H24" s="9" t="n">
        <v>63</v>
      </c>
      <c r="I24" s="9" t="n">
        <v>316</v>
      </c>
      <c r="J24" s="9" t="n">
        <v>60</v>
      </c>
      <c r="K24" s="8">
        <f>SUM(C24:J24)</f>
        <v/>
      </c>
      <c r="L24" s="10" t="n"/>
      <c r="M24" s="11" t="n"/>
    </row>
    <row r="25" ht="15.95" customHeight="1" s="48">
      <c r="A25" s="5" t="n">
        <v>21</v>
      </c>
      <c r="B25" s="36" t="n">
        <v>46018</v>
      </c>
      <c r="C25" s="9" t="n">
        <v>5417</v>
      </c>
      <c r="D25" s="38" t="n">
        <v>366</v>
      </c>
      <c r="E25" s="9" t="n">
        <v>2443</v>
      </c>
      <c r="F25" s="9" t="n">
        <v>188</v>
      </c>
      <c r="G25" s="38" t="n">
        <v>0</v>
      </c>
      <c r="H25" s="9" t="n">
        <v>63</v>
      </c>
      <c r="I25" s="9" t="n">
        <v>316</v>
      </c>
      <c r="J25" s="9" t="n">
        <v>60</v>
      </c>
      <c r="K25" s="8">
        <f>SUM(C25:J25)</f>
        <v/>
      </c>
      <c r="L25" s="10" t="n"/>
      <c r="M25" s="11" t="n"/>
    </row>
    <row r="26">
      <c r="A26" s="5" t="n">
        <v>22</v>
      </c>
      <c r="B26" s="36" t="n">
        <v>46021</v>
      </c>
      <c r="C26" s="9" t="n">
        <v>5450</v>
      </c>
      <c r="D26" s="38" t="n">
        <v>387</v>
      </c>
      <c r="E26" s="9" t="n">
        <v>2443</v>
      </c>
      <c r="F26" s="9" t="n">
        <v>188</v>
      </c>
      <c r="G26" s="38" t="n">
        <v>0</v>
      </c>
      <c r="H26" s="9" t="n">
        <v>63</v>
      </c>
      <c r="I26" s="9" t="n">
        <v>316</v>
      </c>
      <c r="J26" s="9" t="n">
        <v>60</v>
      </c>
      <c r="K26" s="8">
        <f>SUM(C26:J26)</f>
        <v/>
      </c>
      <c r="L26" s="10" t="n"/>
      <c r="M26" s="11" t="n"/>
    </row>
    <row r="27" ht="15.95" customHeight="1" s="48">
      <c r="A27" s="5" t="n">
        <v>23</v>
      </c>
      <c r="B27" s="37" t="n">
        <v>46026</v>
      </c>
      <c r="C27" s="9" t="n">
        <v>5439</v>
      </c>
      <c r="D27" s="38" t="n">
        <v>349</v>
      </c>
      <c r="E27" s="9" t="n">
        <v>2443</v>
      </c>
      <c r="F27" s="9" t="n">
        <v>188</v>
      </c>
      <c r="G27" s="38" t="n">
        <v>10</v>
      </c>
      <c r="H27" s="9" t="n">
        <v>63</v>
      </c>
      <c r="I27" s="9" t="n">
        <v>316</v>
      </c>
      <c r="J27" s="9" t="n">
        <v>60</v>
      </c>
      <c r="K27" s="8">
        <f>SUM(C27:J27)</f>
        <v/>
      </c>
      <c r="L27" s="10" t="n"/>
      <c r="M27" s="11" t="n"/>
    </row>
    <row r="28">
      <c r="A28" s="5" t="n">
        <v>24</v>
      </c>
      <c r="B28" s="37" t="n">
        <v>46028</v>
      </c>
      <c r="C28" s="9" t="n">
        <v>5446</v>
      </c>
      <c r="D28" s="38" t="n">
        <v>349</v>
      </c>
      <c r="E28" s="9" t="n">
        <v>2443</v>
      </c>
      <c r="F28" s="9" t="n">
        <v>188</v>
      </c>
      <c r="G28" s="38" t="n">
        <v>0</v>
      </c>
      <c r="H28" s="9" t="n">
        <v>63</v>
      </c>
      <c r="I28" s="9" t="n">
        <v>316</v>
      </c>
      <c r="J28" s="9" t="n">
        <v>60</v>
      </c>
      <c r="K28" s="8">
        <f>SUM(C28:J28)</f>
        <v/>
      </c>
      <c r="L28" s="10" t="n"/>
      <c r="M28" s="11" t="n"/>
    </row>
    <row r="29" ht="15.95" customHeight="1" s="48">
      <c r="A29" s="5" t="n">
        <v>25</v>
      </c>
      <c r="B29" s="36" t="n">
        <v>46030</v>
      </c>
      <c r="C29" s="9" t="n">
        <v>5419</v>
      </c>
      <c r="D29" s="38" t="n">
        <v>374</v>
      </c>
      <c r="E29" s="9" t="n">
        <v>2443</v>
      </c>
      <c r="F29" s="9" t="n">
        <v>188</v>
      </c>
      <c r="G29" s="38" t="n">
        <v>0</v>
      </c>
      <c r="H29" s="9" t="n">
        <v>63</v>
      </c>
      <c r="I29" s="9" t="n">
        <v>316</v>
      </c>
      <c r="J29" s="9" t="n">
        <v>60</v>
      </c>
      <c r="K29" s="8">
        <f>SUM(C29:J29)</f>
        <v/>
      </c>
      <c r="L29" s="10" t="n"/>
      <c r="M29" s="11" t="n"/>
    </row>
    <row r="30">
      <c r="A30" s="5" t="n">
        <v>26</v>
      </c>
      <c r="B30" s="37" t="n">
        <v>46035</v>
      </c>
      <c r="C30" s="9" t="n">
        <v>4889</v>
      </c>
      <c r="D30" s="38" t="n">
        <v>575</v>
      </c>
      <c r="E30" s="9" t="n">
        <v>2443</v>
      </c>
      <c r="F30" s="9" t="n">
        <v>188</v>
      </c>
      <c r="G30" s="38" t="n">
        <v>0</v>
      </c>
      <c r="H30" s="9" t="n">
        <v>63</v>
      </c>
      <c r="I30" s="9" t="n">
        <v>316</v>
      </c>
      <c r="J30" s="9" t="n">
        <v>60</v>
      </c>
      <c r="K30" s="8">
        <f>SUM(C30:J30)</f>
        <v/>
      </c>
      <c r="L30" s="10" t="n"/>
      <c r="M30" s="11" t="n"/>
    </row>
    <row r="31" ht="15.95" customHeight="1" s="48">
      <c r="A31" s="5" t="n">
        <v>27</v>
      </c>
      <c r="B31" s="37" t="n">
        <v>46046</v>
      </c>
      <c r="C31" s="9" t="n">
        <v>5504</v>
      </c>
      <c r="D31" s="38" t="n">
        <v>314</v>
      </c>
      <c r="E31" s="9" t="n">
        <v>2443</v>
      </c>
      <c r="F31" s="9" t="n">
        <v>188</v>
      </c>
      <c r="G31" s="38" t="n">
        <v>10</v>
      </c>
      <c r="H31" s="9" t="n">
        <v>63</v>
      </c>
      <c r="I31" s="9" t="n">
        <v>316</v>
      </c>
      <c r="J31" s="9" t="n">
        <v>60</v>
      </c>
      <c r="K31" s="8">
        <f>SUM(C31:J31)</f>
        <v/>
      </c>
      <c r="L31" s="10" t="n"/>
      <c r="M31" s="11" t="n"/>
    </row>
    <row r="32">
      <c r="A32" s="5" t="n">
        <v>28</v>
      </c>
      <c r="B32" s="37" t="n">
        <v>46050</v>
      </c>
      <c r="C32" s="9" t="n">
        <v>5411</v>
      </c>
      <c r="D32" s="38" t="n">
        <v>373</v>
      </c>
      <c r="E32" s="9" t="n">
        <v>2443</v>
      </c>
      <c r="F32" s="9" t="n">
        <v>188</v>
      </c>
      <c r="G32" s="38" t="n">
        <v>0</v>
      </c>
      <c r="H32" s="9" t="n">
        <v>63</v>
      </c>
      <c r="I32" s="9" t="n">
        <v>316</v>
      </c>
      <c r="J32" s="9" t="n">
        <v>60</v>
      </c>
      <c r="K32" s="8">
        <f>SUM(C32:J32)</f>
        <v/>
      </c>
      <c r="L32" s="10" t="n"/>
      <c r="M32" s="11" t="n"/>
    </row>
    <row r="33" ht="15.95" customHeight="1" s="48">
      <c r="A33" s="5" t="n">
        <v>29</v>
      </c>
      <c r="B33" s="37" t="n">
        <v>46053</v>
      </c>
      <c r="C33" s="9" t="n">
        <v>5446</v>
      </c>
      <c r="D33" s="38" t="n">
        <v>331</v>
      </c>
      <c r="E33" s="9" t="n">
        <v>2443</v>
      </c>
      <c r="F33" s="9" t="n">
        <v>188</v>
      </c>
      <c r="G33" s="40" t="n">
        <v>10</v>
      </c>
      <c r="H33" s="9" t="n">
        <v>63</v>
      </c>
      <c r="I33" s="9" t="n">
        <v>316</v>
      </c>
      <c r="J33" s="9" t="n">
        <v>60</v>
      </c>
      <c r="K33" s="8">
        <f>SUM(C33:J33)</f>
        <v/>
      </c>
      <c r="L33" s="10" t="n"/>
      <c r="M33" s="11" t="n"/>
    </row>
    <row r="34">
      <c r="A34" s="5" t="n">
        <v>30</v>
      </c>
      <c r="B34" s="36" t="n">
        <v>46065</v>
      </c>
      <c r="C34" s="9" t="n">
        <v>5501</v>
      </c>
      <c r="D34" s="38" t="n">
        <v>327</v>
      </c>
      <c r="E34" s="9" t="n">
        <v>2443</v>
      </c>
      <c r="F34" s="9" t="n">
        <v>188</v>
      </c>
      <c r="G34" s="38" t="n">
        <v>10</v>
      </c>
      <c r="H34" s="9" t="n">
        <v>63</v>
      </c>
      <c r="I34" s="9" t="n">
        <v>316</v>
      </c>
      <c r="J34" s="9" t="n">
        <v>60</v>
      </c>
      <c r="K34" s="8">
        <f>SUM(C34:J34)</f>
        <v/>
      </c>
      <c r="L34" s="10" t="n"/>
      <c r="M34" s="11" t="n"/>
    </row>
    <row r="35" ht="15.95" customHeight="1" s="48">
      <c r="A35" s="5" t="n">
        <v>31</v>
      </c>
      <c r="B35" s="37" t="n">
        <v>46078</v>
      </c>
      <c r="C35" s="9" t="n">
        <v>5439</v>
      </c>
      <c r="D35" s="38" t="n">
        <v>315</v>
      </c>
      <c r="E35" s="9" t="n">
        <v>2443</v>
      </c>
      <c r="F35" s="9" t="n">
        <v>188</v>
      </c>
      <c r="G35" s="38" t="n">
        <v>10</v>
      </c>
      <c r="H35" s="9" t="n">
        <v>63</v>
      </c>
      <c r="I35" s="9" t="n">
        <v>316</v>
      </c>
      <c r="J35" s="9" t="n">
        <v>60</v>
      </c>
      <c r="K35" s="8">
        <f>SUM(C35:J35)</f>
        <v/>
      </c>
      <c r="L35" s="10" t="n"/>
      <c r="M35" s="11" t="n"/>
    </row>
    <row r="36">
      <c r="A36" s="5" t="n">
        <v>32</v>
      </c>
      <c r="B36" s="37" t="n">
        <v>46088</v>
      </c>
      <c r="C36" s="9" t="n">
        <v>5381</v>
      </c>
      <c r="D36" s="38" t="n">
        <v>376</v>
      </c>
      <c r="E36" s="9" t="n">
        <v>2443</v>
      </c>
      <c r="F36" s="9" t="n">
        <v>188</v>
      </c>
      <c r="G36" s="38" t="n">
        <v>0</v>
      </c>
      <c r="H36" s="9" t="n">
        <v>63</v>
      </c>
      <c r="I36" s="9" t="n">
        <v>316</v>
      </c>
      <c r="J36" s="9" t="n">
        <v>60</v>
      </c>
      <c r="K36" s="8">
        <f>SUM(C36:J36)</f>
        <v/>
      </c>
      <c r="L36" s="10" t="n"/>
      <c r="M36" s="11" t="n"/>
    </row>
    <row r="37" ht="15.95" customHeight="1" s="48">
      <c r="A37" s="5" t="n">
        <v>33</v>
      </c>
      <c r="B37" s="37" t="n">
        <v>46091</v>
      </c>
      <c r="C37" s="9" t="n">
        <v>5377</v>
      </c>
      <c r="D37" s="38" t="n">
        <v>319</v>
      </c>
      <c r="E37" s="9" t="n">
        <v>2443</v>
      </c>
      <c r="F37" s="9" t="n">
        <v>188</v>
      </c>
      <c r="G37" s="38" t="n">
        <v>10</v>
      </c>
      <c r="H37" s="9" t="n">
        <v>63</v>
      </c>
      <c r="I37" s="9" t="n">
        <v>316</v>
      </c>
      <c r="J37" s="9" t="n">
        <v>60</v>
      </c>
      <c r="K37" s="8">
        <f>SUM(C37:J37)</f>
        <v/>
      </c>
      <c r="L37" s="10" t="n"/>
      <c r="M37" s="11" t="n"/>
    </row>
    <row r="38">
      <c r="A38" s="5" t="n">
        <v>34</v>
      </c>
      <c r="B38" s="37" t="n">
        <v>46094</v>
      </c>
      <c r="C38" s="39" t="n">
        <v>5482</v>
      </c>
      <c r="D38" s="38" t="n">
        <v>354</v>
      </c>
      <c r="E38" s="9" t="n">
        <v>2443</v>
      </c>
      <c r="F38" s="9" t="n">
        <v>188</v>
      </c>
      <c r="G38" s="38" t="n">
        <v>0</v>
      </c>
      <c r="H38" s="9" t="n">
        <v>63</v>
      </c>
      <c r="I38" s="9" t="n">
        <v>316</v>
      </c>
      <c r="J38" s="9" t="n">
        <v>60</v>
      </c>
      <c r="K38" s="8">
        <f>SUM(C38:J38)</f>
        <v/>
      </c>
      <c r="L38" s="10" t="n"/>
      <c r="M38" s="11" t="n"/>
    </row>
    <row r="39">
      <c r="A39" s="18" t="inlineStr">
        <is>
          <t>ПЛЕЙ-ОФФ</t>
        </is>
      </c>
      <c r="B39" s="19" t="n"/>
      <c r="C39" s="19" t="n"/>
      <c r="D39" s="19" t="n"/>
      <c r="E39" s="19" t="n"/>
      <c r="F39" s="9" t="n"/>
      <c r="G39" s="9" t="n"/>
      <c r="H39" s="9" t="n"/>
      <c r="I39" s="9" t="n"/>
      <c r="J39" s="9" t="n"/>
      <c r="K39" s="19" t="n"/>
      <c r="L39" s="20" t="n"/>
    </row>
    <row r="40">
      <c r="A40" s="5" t="n">
        <v>35</v>
      </c>
      <c r="B40" s="37" t="n">
        <v>46104</v>
      </c>
      <c r="C40" s="12" t="n">
        <v>5608</v>
      </c>
      <c r="D40" s="12" t="n">
        <v>290</v>
      </c>
      <c r="E40" s="5" t="n">
        <v>2163</v>
      </c>
      <c r="F40" s="5" t="n">
        <v>188</v>
      </c>
      <c r="G40" s="5" t="n">
        <v>0</v>
      </c>
      <c r="H40" s="5" t="n">
        <v>63</v>
      </c>
      <c r="I40" s="5" t="n">
        <v>316</v>
      </c>
      <c r="J40" s="5" t="n">
        <v>60</v>
      </c>
      <c r="K40" s="8">
        <f>SUM(C40:J40)</f>
        <v/>
      </c>
      <c r="L40" s="4" t="n"/>
    </row>
    <row r="41" ht="15.95" customHeight="1" s="48">
      <c r="A41" s="5" t="n">
        <v>36</v>
      </c>
      <c r="B41" s="37" t="n">
        <v>46106</v>
      </c>
      <c r="C41" s="12" t="n">
        <v>5690</v>
      </c>
      <c r="D41" s="12" t="n">
        <v>363</v>
      </c>
      <c r="E41" s="5" t="n">
        <v>2163</v>
      </c>
      <c r="F41" s="5" t="n">
        <v>188</v>
      </c>
      <c r="G41" s="5" t="n">
        <v>0</v>
      </c>
      <c r="H41" s="5" t="n">
        <v>63</v>
      </c>
      <c r="I41" s="5" t="n">
        <v>316</v>
      </c>
      <c r="J41" s="5" t="n">
        <v>60</v>
      </c>
      <c r="K41" s="8">
        <f>SUM(C41:J41)</f>
        <v/>
      </c>
      <c r="L41" s="4" t="n"/>
    </row>
    <row r="42">
      <c r="A42" s="5" t="n">
        <v>37</v>
      </c>
      <c r="B42" s="37" t="n">
        <v>46112</v>
      </c>
      <c r="C42" s="12" t="n">
        <v>5659</v>
      </c>
      <c r="D42" s="12" t="n">
        <v>387</v>
      </c>
      <c r="E42" s="5" t="n">
        <v>2163</v>
      </c>
      <c r="F42" s="5" t="n">
        <v>188</v>
      </c>
      <c r="G42" s="5" t="n">
        <v>0</v>
      </c>
      <c r="H42" s="5" t="n">
        <v>63</v>
      </c>
      <c r="I42" s="5" t="n">
        <v>316</v>
      </c>
      <c r="J42" s="5" t="n">
        <v>60</v>
      </c>
      <c r="K42" s="8">
        <f>SUM(C42:J42)</f>
        <v/>
      </c>
      <c r="L42" s="4" t="n"/>
    </row>
    <row r="43" ht="15.95" customHeight="1" s="48">
      <c r="A43" s="5" t="n">
        <v>38</v>
      </c>
      <c r="B43" s="37" t="n">
        <v>46125</v>
      </c>
      <c r="C43" s="12" t="n">
        <v>5674</v>
      </c>
      <c r="D43" s="12" t="n">
        <v>371</v>
      </c>
      <c r="E43" s="5" t="n">
        <v>2163</v>
      </c>
      <c r="F43" s="5" t="n">
        <v>188</v>
      </c>
      <c r="G43" s="5" t="n">
        <v>0</v>
      </c>
      <c r="H43" s="5" t="n">
        <v>63</v>
      </c>
      <c r="I43" s="5" t="n">
        <v>316</v>
      </c>
      <c r="J43" s="5" t="n">
        <v>60</v>
      </c>
      <c r="K43" s="8">
        <f>SUM(C43:J43)</f>
        <v/>
      </c>
      <c r="L43" s="4" t="n"/>
    </row>
    <row r="44">
      <c r="A44" s="5" t="n">
        <v>39</v>
      </c>
      <c r="B44" s="37" t="n">
        <v>46127</v>
      </c>
      <c r="C44" s="12" t="n">
        <v>5685</v>
      </c>
      <c r="D44" s="12" t="n">
        <v>387</v>
      </c>
      <c r="E44" s="5" t="n">
        <v>2163</v>
      </c>
      <c r="F44" s="5" t="n">
        <v>188</v>
      </c>
      <c r="G44" s="5" t="n">
        <v>10</v>
      </c>
      <c r="H44" s="5" t="n">
        <v>63</v>
      </c>
      <c r="I44" s="5" t="n">
        <v>316</v>
      </c>
      <c r="J44" s="5" t="n">
        <v>60</v>
      </c>
      <c r="K44" s="8">
        <f>SUM(C44:J44)</f>
        <v/>
      </c>
      <c r="L44" s="4" t="n"/>
    </row>
    <row r="45" ht="15.95" customHeight="1" s="48">
      <c r="A45" s="5" t="n">
        <v>40</v>
      </c>
      <c r="B45" s="37" t="n">
        <v>46141</v>
      </c>
      <c r="C45" s="12" t="n">
        <v>5668</v>
      </c>
      <c r="D45" s="12" t="n">
        <v>367</v>
      </c>
      <c r="E45" s="5" t="n">
        <v>2163</v>
      </c>
      <c r="F45" s="5" t="n">
        <v>188</v>
      </c>
      <c r="G45" s="5" t="n">
        <v>10</v>
      </c>
      <c r="H45" s="5" t="n">
        <v>63</v>
      </c>
      <c r="I45" s="5" t="n">
        <v>316</v>
      </c>
      <c r="J45" s="5" t="n">
        <v>60</v>
      </c>
      <c r="K45" s="8">
        <f>SUM(C45:J45)</f>
        <v/>
      </c>
      <c r="L45" s="4" t="n"/>
    </row>
    <row r="46" ht="15.95" customHeight="1" s="48">
      <c r="A46" s="5" t="n">
        <v>41</v>
      </c>
      <c r="B46" s="37" t="n">
        <v>46143</v>
      </c>
      <c r="C46" s="12" t="n">
        <v>5677</v>
      </c>
      <c r="D46" s="12" t="n">
        <v>388</v>
      </c>
      <c r="E46" s="5" t="n">
        <v>2163</v>
      </c>
      <c r="F46" s="5" t="n">
        <v>188</v>
      </c>
      <c r="G46" s="5" t="n">
        <v>0</v>
      </c>
      <c r="H46" s="5" t="n">
        <v>63</v>
      </c>
      <c r="I46" s="5" t="n">
        <v>316</v>
      </c>
      <c r="J46" s="5" t="n">
        <v>60</v>
      </c>
      <c r="K46" s="8">
        <f>SUM(C46:J46)</f>
        <v/>
      </c>
      <c r="L46" s="4" t="n"/>
    </row>
    <row r="47" ht="15.95" customHeight="1" s="48">
      <c r="A47" s="5" t="n">
        <v>42</v>
      </c>
      <c r="B47" s="37" t="n">
        <v>46157</v>
      </c>
      <c r="C47" s="12" t="n">
        <v>5649</v>
      </c>
      <c r="D47" s="12" t="n">
        <v>396</v>
      </c>
      <c r="E47" s="5" t="n">
        <v>2163</v>
      </c>
      <c r="F47" s="5" t="n">
        <v>188</v>
      </c>
      <c r="G47" s="5" t="n">
        <v>10</v>
      </c>
      <c r="H47" s="5" t="n">
        <v>63</v>
      </c>
      <c r="I47" s="5" t="n">
        <v>316</v>
      </c>
      <c r="J47" s="5" t="n">
        <v>60</v>
      </c>
      <c r="K47" s="8">
        <f>SUM(C47:J47)</f>
        <v/>
      </c>
      <c r="L47" s="4" t="n"/>
    </row>
    <row r="48" ht="15.95" customHeight="1" s="48">
      <c r="A48" s="5" t="n">
        <v>43</v>
      </c>
      <c r="B48" s="37" t="n">
        <v>46159</v>
      </c>
      <c r="C48" s="12" t="n">
        <v>5674</v>
      </c>
      <c r="D48" s="12" t="n">
        <v>383</v>
      </c>
      <c r="E48" s="5" t="n">
        <v>2163</v>
      </c>
      <c r="F48" s="5" t="n">
        <v>188</v>
      </c>
      <c r="G48" s="5" t="n">
        <v>10</v>
      </c>
      <c r="H48" s="5" t="n">
        <v>63</v>
      </c>
      <c r="I48" s="5" t="n">
        <v>316</v>
      </c>
      <c r="J48" s="5" t="n">
        <v>60</v>
      </c>
      <c r="K48" s="8">
        <f>SUM(C48:J48)</f>
        <v/>
      </c>
      <c r="L48" s="4" t="n"/>
    </row>
    <row r="49">
      <c r="A49" s="5" t="n">
        <v>44</v>
      </c>
      <c r="B49" s="37" t="n">
        <v>46163</v>
      </c>
      <c r="C49" s="12" t="n">
        <v>5624</v>
      </c>
      <c r="D49" s="12" t="n">
        <v>365</v>
      </c>
      <c r="E49" s="5" t="n">
        <v>2163</v>
      </c>
      <c r="F49" s="5" t="n">
        <v>188</v>
      </c>
      <c r="G49" s="5" t="n">
        <v>10</v>
      </c>
      <c r="H49" s="5" t="n">
        <v>63</v>
      </c>
      <c r="I49" s="5" t="n">
        <v>316</v>
      </c>
      <c r="J49" s="5" t="n">
        <v>60</v>
      </c>
      <c r="K49" s="8">
        <f>SUM(C49:J49)</f>
        <v/>
      </c>
      <c r="L49" s="4" t="n"/>
    </row>
    <row r="50"/>
    <row r="51">
      <c r="A51" s="28" t="inlineStr">
        <is>
          <t>* Места, в стоимость которых включен кейтеринг</t>
        </is>
      </c>
    </row>
    <row r="52">
      <c r="A52" s="28" t="n"/>
    </row>
  </sheetData>
  <mergeCells count="12">
    <mergeCell ref="H2:H3"/>
    <mergeCell ref="D2:D3"/>
    <mergeCell ref="K2:K3"/>
    <mergeCell ref="B2:B3"/>
    <mergeCell ref="A2:A3"/>
    <mergeCell ref="C2:C3"/>
    <mergeCell ref="F2:F3"/>
    <mergeCell ref="E2:E3"/>
    <mergeCell ref="J2:J3"/>
    <mergeCell ref="I2:I3"/>
    <mergeCell ref="G2:G3"/>
    <mergeCell ref="L2:L3"/>
  </mergeCells>
  <pageMargins left="0.3149606299212598" right="0.3149606299212598" top="0.3543307086614174" bottom="0.3543307086614174" header="0.3149606299212598" footer="0.3149606299212598"/>
  <pageSetup orientation="landscape" paperSize="9" scale="8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6" workbookViewId="0">
      <selection activeCell="M31" sqref="M31"/>
    </sheetView>
  </sheetViews>
  <sheetFormatPr baseColWidth="8" defaultColWidth="11" defaultRowHeight="15.75"/>
  <cols>
    <col width="21.625" customWidth="1" style="48" min="1" max="1"/>
    <col width="17.875" customWidth="1" style="48" min="3" max="3"/>
    <col width="21" customWidth="1" style="48" min="4" max="4"/>
    <col width="16.5" customWidth="1" style="48" min="5" max="5"/>
    <col width="19.625" customWidth="1" style="48" min="6" max="6"/>
    <col width="17" customWidth="1" style="48" min="7" max="7"/>
    <col width="18.375" customWidth="1" style="48" min="8" max="8"/>
  </cols>
  <sheetData>
    <row r="1" ht="17.25" customHeight="1" s="48">
      <c r="A1" s="16" t="inlineStr">
        <is>
          <t>Поматчевая реализация</t>
        </is>
      </c>
      <c r="B1" s="16" t="n"/>
      <c r="C1" s="17" t="n"/>
      <c r="D1" s="17" t="n"/>
      <c r="E1" s="17" t="n"/>
      <c r="F1" s="17" t="n"/>
      <c r="G1" s="17" t="n"/>
      <c r="H1" s="17" t="n"/>
    </row>
    <row r="2" ht="105.95" customHeight="1" s="48">
      <c r="A2" s="15" t="inlineStr">
        <is>
          <t>№ игры</t>
        </is>
      </c>
      <c r="B2" s="15" t="inlineStr">
        <is>
          <t>Дата</t>
        </is>
      </c>
      <c r="C2" s="15" t="inlineStr">
        <is>
          <t>Сумма дохода от всех реализованных билетов на матч</t>
        </is>
      </c>
      <c r="D2" s="15" t="inlineStr">
        <is>
          <t>Сумма дохода от реализованных платных билетов на матч</t>
        </is>
      </c>
      <c r="E2" s="15" t="inlineStr">
        <is>
          <t>Сумма дохода от реализованных на матч платных абонементов/ пакетов, шт. *</t>
        </is>
      </c>
      <c r="F2" s="15" t="inlineStr">
        <is>
          <t xml:space="preserve">Общая сумма дохода от реализованных платных билетов в бизнес-клубы и рестораны** на матч, шт. </t>
        </is>
      </c>
      <c r="G2" s="15" t="inlineStr">
        <is>
          <t>Общая сумма дохода от реализованных платных мест в ложах ***</t>
        </is>
      </c>
      <c r="H2" s="22" t="inlineStr">
        <is>
          <t>Комментарий</t>
        </is>
      </c>
    </row>
    <row r="3" ht="15.95" customHeight="1" s="48">
      <c r="A3" s="27" t="inlineStr">
        <is>
          <t>РЕГУЛЯРНЫЙ ЧЕМПИОНАТ</t>
        </is>
      </c>
      <c r="B3" s="25" t="n"/>
      <c r="C3" s="25" t="n"/>
      <c r="D3" s="25" t="n"/>
      <c r="E3" s="25" t="n"/>
      <c r="F3" s="25" t="n"/>
      <c r="G3" s="25" t="n"/>
      <c r="H3" s="26" t="n"/>
    </row>
    <row r="4">
      <c r="A4" s="5" t="n">
        <v>1</v>
      </c>
      <c r="B4" s="36" t="n">
        <v>45910</v>
      </c>
      <c r="C4" s="8">
        <f>SUM(D4:G4)</f>
        <v/>
      </c>
      <c r="D4" s="8" t="n">
        <v>6189166.48</v>
      </c>
      <c r="E4" s="9" t="n">
        <v>1792583.522727273</v>
      </c>
      <c r="F4" s="9" t="n">
        <v>0</v>
      </c>
      <c r="G4" s="9" t="n">
        <v>1159137</v>
      </c>
      <c r="H4" s="10" t="n"/>
      <c r="K4" s="11" t="n"/>
    </row>
    <row r="5">
      <c r="A5" s="5" t="n">
        <v>2</v>
      </c>
      <c r="B5" s="36" t="n">
        <v>45914</v>
      </c>
      <c r="C5" s="8">
        <f>SUM(D5:G5)</f>
        <v/>
      </c>
      <c r="D5" s="8" t="n">
        <v>5904206.48</v>
      </c>
      <c r="E5" s="9" t="n">
        <v>1792583.522727273</v>
      </c>
      <c r="F5" s="9" t="n">
        <v>65000</v>
      </c>
      <c r="G5" s="9" t="n">
        <v>1159137</v>
      </c>
      <c r="H5" s="10" t="n"/>
    </row>
    <row r="6">
      <c r="A6" s="5" t="n">
        <v>3</v>
      </c>
      <c r="B6" s="36" t="n">
        <v>45917</v>
      </c>
      <c r="C6" s="8">
        <f>SUM(D6:G6)</f>
        <v/>
      </c>
      <c r="D6" s="8" t="n">
        <v>3248436.48</v>
      </c>
      <c r="E6" s="9" t="n">
        <v>1792583.522727273</v>
      </c>
      <c r="F6" s="9" t="n">
        <v>0</v>
      </c>
      <c r="G6" s="9" t="n">
        <v>1159137</v>
      </c>
      <c r="H6" s="10" t="n"/>
    </row>
    <row r="7">
      <c r="A7" s="5" t="n">
        <v>4</v>
      </c>
      <c r="B7" s="36" t="n">
        <v>45919</v>
      </c>
      <c r="C7" s="8">
        <f>SUM(D7:G7)</f>
        <v/>
      </c>
      <c r="D7" s="8" t="n">
        <v>7884016.48</v>
      </c>
      <c r="E7" s="9" t="n">
        <v>1792583.522727273</v>
      </c>
      <c r="F7" s="9" t="n">
        <v>0</v>
      </c>
      <c r="G7" s="9" t="n">
        <v>1159137</v>
      </c>
      <c r="H7" s="10" t="n"/>
    </row>
    <row r="8">
      <c r="A8" s="5" t="n">
        <v>5</v>
      </c>
      <c r="B8" s="36" t="n">
        <v>45921</v>
      </c>
      <c r="C8" s="8">
        <f>SUM(D8:G8)</f>
        <v/>
      </c>
      <c r="D8" s="8" t="n">
        <v>8052036.48</v>
      </c>
      <c r="E8" s="9" t="n">
        <v>1792583.522727273</v>
      </c>
      <c r="F8" s="9" t="n">
        <v>75000</v>
      </c>
      <c r="G8" s="9" t="n">
        <v>1159137</v>
      </c>
      <c r="H8" s="10" t="n"/>
    </row>
    <row r="9">
      <c r="A9" s="5" t="n">
        <v>6</v>
      </c>
      <c r="B9" s="36" t="n">
        <v>45933</v>
      </c>
      <c r="C9" s="8">
        <f>SUM(D9:G9)</f>
        <v/>
      </c>
      <c r="D9" s="8" t="n">
        <v>3520541.48</v>
      </c>
      <c r="E9" s="9" t="n">
        <v>1792583.522727273</v>
      </c>
      <c r="F9" s="9" t="n">
        <v>35000</v>
      </c>
      <c r="G9" s="9" t="n">
        <v>1159137</v>
      </c>
      <c r="H9" s="10" t="n"/>
    </row>
    <row r="10">
      <c r="A10" s="5" t="n">
        <v>7</v>
      </c>
      <c r="B10" s="36" t="n">
        <v>45935</v>
      </c>
      <c r="C10" s="8">
        <f>SUM(D10:G10)</f>
        <v/>
      </c>
      <c r="D10" s="8" t="n">
        <v>4429151.48</v>
      </c>
      <c r="E10" s="9" t="n">
        <v>1792583.522727273</v>
      </c>
      <c r="F10" s="9" t="n">
        <v>0</v>
      </c>
      <c r="G10" s="9" t="n">
        <v>1159137</v>
      </c>
      <c r="H10" s="10" t="n"/>
    </row>
    <row r="11">
      <c r="A11" s="5" t="n">
        <v>8</v>
      </c>
      <c r="B11" s="36" t="n">
        <v>45937</v>
      </c>
      <c r="C11" s="8">
        <f>SUM(D11:G11)</f>
        <v/>
      </c>
      <c r="D11" s="8" t="n">
        <v>3110651.44</v>
      </c>
      <c r="E11" s="9" t="n">
        <v>1792583.522727273</v>
      </c>
      <c r="F11" s="9" t="n">
        <v>0</v>
      </c>
      <c r="G11" s="9" t="n">
        <v>1159137</v>
      </c>
      <c r="H11" s="10" t="n"/>
    </row>
    <row r="12">
      <c r="A12" s="5" t="n">
        <v>9</v>
      </c>
      <c r="B12" s="36" t="n">
        <v>45952</v>
      </c>
      <c r="C12" s="8">
        <f>SUM(D12:G12)</f>
        <v/>
      </c>
      <c r="D12" s="8" t="n">
        <v>7399235</v>
      </c>
      <c r="E12" s="9" t="n">
        <v>1792583.522727273</v>
      </c>
      <c r="F12" s="9" t="n">
        <v>75000</v>
      </c>
      <c r="G12" s="9" t="n">
        <v>1159137</v>
      </c>
      <c r="H12" s="10" t="n"/>
    </row>
    <row r="13">
      <c r="A13" s="5" t="n">
        <v>10</v>
      </c>
      <c r="B13" s="36" t="n">
        <v>45955</v>
      </c>
      <c r="C13" s="8">
        <f>SUM(D13:G13)</f>
        <v/>
      </c>
      <c r="D13" s="8" t="n">
        <v>5696910</v>
      </c>
      <c r="E13" s="9" t="n">
        <v>1792583.522727273</v>
      </c>
      <c r="F13" s="9" t="n">
        <v>0</v>
      </c>
      <c r="G13" s="9" t="n">
        <v>1159137</v>
      </c>
      <c r="H13" s="10" t="n"/>
    </row>
    <row r="14">
      <c r="A14" s="5" t="n">
        <v>11</v>
      </c>
      <c r="B14" s="36" t="n">
        <v>45957</v>
      </c>
      <c r="C14" s="8">
        <f>SUM(D14:G14)</f>
        <v/>
      </c>
      <c r="D14" s="8" t="n">
        <v>4044925</v>
      </c>
      <c r="E14" s="9" t="n">
        <v>1792583.522727273</v>
      </c>
      <c r="F14" s="9" t="n">
        <v>35000</v>
      </c>
      <c r="G14" s="9" t="n">
        <v>1159137</v>
      </c>
      <c r="H14" s="10" t="n"/>
    </row>
    <row r="15">
      <c r="A15" s="5" t="n">
        <v>12</v>
      </c>
      <c r="B15" s="36" t="n">
        <v>45959</v>
      </c>
      <c r="C15" s="8">
        <f>SUM(D15:G15)</f>
        <v/>
      </c>
      <c r="D15" s="8" t="n">
        <v>5861535</v>
      </c>
      <c r="E15" s="9" t="n">
        <v>1792583.522727273</v>
      </c>
      <c r="F15" s="9" t="n">
        <v>0</v>
      </c>
      <c r="G15" s="9" t="n">
        <v>1159137</v>
      </c>
      <c r="H15" s="10" t="n"/>
    </row>
    <row r="16">
      <c r="A16" s="5" t="n">
        <v>13</v>
      </c>
      <c r="B16" s="36" t="n">
        <v>45962</v>
      </c>
      <c r="C16" s="8">
        <f>SUM(D16:G16)</f>
        <v/>
      </c>
      <c r="D16" s="8" t="n">
        <v>5004520</v>
      </c>
      <c r="E16" s="9" t="n">
        <v>1792583.522727273</v>
      </c>
      <c r="F16" s="9" t="n">
        <v>65000</v>
      </c>
      <c r="G16" s="9" t="n">
        <v>1159137</v>
      </c>
      <c r="H16" s="10" t="n"/>
    </row>
    <row r="17">
      <c r="A17" s="5" t="n">
        <v>14</v>
      </c>
      <c r="B17" s="36" t="n">
        <v>45974</v>
      </c>
      <c r="C17" s="8">
        <f>SUM(D17:G17)</f>
        <v/>
      </c>
      <c r="D17" s="8" t="n">
        <v>5605975</v>
      </c>
      <c r="E17" s="9" t="n">
        <v>1792583.522727273</v>
      </c>
      <c r="F17" s="9" t="n">
        <v>0</v>
      </c>
      <c r="G17" s="9" t="n">
        <v>1159137</v>
      </c>
      <c r="H17" s="10" t="n"/>
    </row>
    <row r="18">
      <c r="A18" s="5" t="n">
        <v>15</v>
      </c>
      <c r="B18" s="36" t="n">
        <v>45977</v>
      </c>
      <c r="C18" s="8">
        <f>SUM(D18:G18)</f>
        <v/>
      </c>
      <c r="D18" s="8" t="n">
        <v>5762260</v>
      </c>
      <c r="E18" s="9" t="n">
        <v>1792583.522727273</v>
      </c>
      <c r="F18" s="9" t="n">
        <v>0</v>
      </c>
      <c r="G18" s="9" t="n">
        <v>1159137</v>
      </c>
      <c r="H18" s="10" t="n"/>
    </row>
    <row r="19">
      <c r="A19" s="5" t="n">
        <v>16</v>
      </c>
      <c r="B19" s="36" t="n">
        <v>45979</v>
      </c>
      <c r="C19" s="8">
        <f>SUM(D19:G19)</f>
        <v/>
      </c>
      <c r="D19" s="8" t="n">
        <v>7535155</v>
      </c>
      <c r="E19" s="9" t="n">
        <v>1792583.522727273</v>
      </c>
      <c r="F19" s="9" t="n">
        <v>0</v>
      </c>
      <c r="G19" s="9" t="n">
        <v>1159137</v>
      </c>
      <c r="H19" s="10" t="n"/>
    </row>
    <row r="20">
      <c r="A20" s="5" t="n">
        <v>17</v>
      </c>
      <c r="B20" s="36" t="n">
        <v>45989</v>
      </c>
      <c r="C20" s="8">
        <f>SUM(D20:G20)</f>
        <v/>
      </c>
      <c r="D20" s="8" t="n">
        <v>7616170</v>
      </c>
      <c r="E20" s="9" t="n">
        <v>1792583.522727273</v>
      </c>
      <c r="F20" s="9" t="n">
        <v>0</v>
      </c>
      <c r="G20" s="9" t="n">
        <v>1159137</v>
      </c>
      <c r="H20" s="10" t="n"/>
    </row>
    <row r="21">
      <c r="A21" s="5" t="n">
        <v>18</v>
      </c>
      <c r="B21" s="36" t="n">
        <v>45991</v>
      </c>
      <c r="C21" s="8">
        <f>SUM(D21:G21)</f>
        <v/>
      </c>
      <c r="D21" s="8" t="n">
        <v>5379620</v>
      </c>
      <c r="E21" s="9" t="n">
        <v>1792583.522727273</v>
      </c>
      <c r="F21" s="9" t="n">
        <v>0</v>
      </c>
      <c r="G21" s="9" t="n">
        <v>1159137</v>
      </c>
      <c r="H21" s="10" t="n"/>
    </row>
    <row r="22">
      <c r="A22" s="5" t="n">
        <v>19</v>
      </c>
      <c r="B22" s="36" t="n">
        <v>45994</v>
      </c>
      <c r="C22" s="8">
        <f>SUM(D22:G22)</f>
        <v/>
      </c>
      <c r="D22" s="8" t="n">
        <v>5593910</v>
      </c>
      <c r="E22" s="9" t="n">
        <v>1792583.522727273</v>
      </c>
      <c r="F22" s="9" t="n">
        <v>0</v>
      </c>
      <c r="G22" s="9" t="n">
        <v>1159137</v>
      </c>
      <c r="H22" s="10" t="n"/>
    </row>
    <row r="23">
      <c r="A23" s="5" t="n">
        <v>20</v>
      </c>
      <c r="B23" s="36" t="n">
        <v>46007</v>
      </c>
      <c r="C23" s="8">
        <f>SUM(D23:G23)</f>
        <v/>
      </c>
      <c r="D23" s="8" t="n">
        <v>7604155</v>
      </c>
      <c r="E23" s="9" t="n">
        <v>1792583.522727273</v>
      </c>
      <c r="F23" s="9" t="n">
        <v>75000</v>
      </c>
      <c r="G23" s="9" t="n">
        <v>1159137</v>
      </c>
      <c r="H23" s="10" t="n"/>
    </row>
    <row r="24">
      <c r="A24" s="5" t="n">
        <v>21</v>
      </c>
      <c r="B24" s="36" t="n">
        <v>46018</v>
      </c>
      <c r="C24" s="8">
        <f>SUM(D24:G24)</f>
        <v/>
      </c>
      <c r="D24" s="8" t="n">
        <v>7125590</v>
      </c>
      <c r="E24" s="9" t="n">
        <v>1792583.522727273</v>
      </c>
      <c r="F24" s="9" t="n">
        <v>0</v>
      </c>
      <c r="G24" s="9" t="n">
        <v>1159137</v>
      </c>
      <c r="H24" s="10" t="n"/>
    </row>
    <row r="25">
      <c r="A25" s="5" t="n">
        <v>22</v>
      </c>
      <c r="B25" s="36" t="n">
        <v>46021</v>
      </c>
      <c r="C25" s="8">
        <f>SUM(D25:G25)</f>
        <v/>
      </c>
      <c r="D25" s="8" t="n">
        <v>4339110</v>
      </c>
      <c r="E25" s="9" t="n">
        <v>1792583.522727273</v>
      </c>
      <c r="F25" s="9" t="n">
        <v>0</v>
      </c>
      <c r="G25" s="9" t="n">
        <v>1159137</v>
      </c>
      <c r="H25" s="10" t="n"/>
    </row>
    <row r="26">
      <c r="A26" s="5" t="n">
        <v>23</v>
      </c>
      <c r="B26" s="37" t="n">
        <v>46026</v>
      </c>
      <c r="C26" s="8">
        <f>SUM(D26:G26)</f>
        <v/>
      </c>
      <c r="D26" s="8" t="n">
        <v>7655200</v>
      </c>
      <c r="E26" s="9" t="n">
        <v>1792583.522727273</v>
      </c>
      <c r="F26" s="9" t="n">
        <v>75000</v>
      </c>
      <c r="G26" s="9" t="n">
        <v>1159137</v>
      </c>
      <c r="H26" s="10" t="n"/>
    </row>
    <row r="27">
      <c r="A27" s="5" t="n">
        <v>24</v>
      </c>
      <c r="B27" s="37" t="n">
        <v>46028</v>
      </c>
      <c r="C27" s="8">
        <f>SUM(D27:G27)</f>
        <v/>
      </c>
      <c r="D27" s="8" t="n">
        <v>7651810</v>
      </c>
      <c r="E27" s="9" t="n">
        <v>1792583.522727273</v>
      </c>
      <c r="F27" s="9" t="n">
        <v>0</v>
      </c>
      <c r="G27" s="9" t="n">
        <v>1159137</v>
      </c>
      <c r="H27" s="10" t="n"/>
    </row>
    <row r="28">
      <c r="A28" s="5" t="n">
        <v>25</v>
      </c>
      <c r="B28" s="36" t="n">
        <v>46030</v>
      </c>
      <c r="C28" s="8">
        <f>SUM(D28:G28)</f>
        <v/>
      </c>
      <c r="D28" s="8" t="n">
        <v>7596210</v>
      </c>
      <c r="E28" s="9" t="n">
        <v>1792583.522727273</v>
      </c>
      <c r="F28" s="9" t="n">
        <v>0</v>
      </c>
      <c r="G28" s="9" t="n">
        <v>1159137</v>
      </c>
      <c r="H28" s="10" t="n"/>
    </row>
    <row r="29">
      <c r="A29" s="5" t="n">
        <v>26</v>
      </c>
      <c r="B29" s="37" t="n">
        <v>46035</v>
      </c>
      <c r="C29" s="8">
        <f>SUM(D29:G29)</f>
        <v/>
      </c>
      <c r="D29" s="8" t="n">
        <v>4147240</v>
      </c>
      <c r="E29" s="9" t="n">
        <v>1792583.522727273</v>
      </c>
      <c r="F29" s="9" t="n">
        <v>0</v>
      </c>
      <c r="G29" s="9" t="n">
        <v>1159137</v>
      </c>
      <c r="H29" s="10" t="n"/>
    </row>
    <row r="30">
      <c r="A30" s="5" t="n">
        <v>27</v>
      </c>
      <c r="B30" s="37" t="n">
        <v>46046</v>
      </c>
      <c r="C30" s="8">
        <f>SUM(D30:G30)</f>
        <v/>
      </c>
      <c r="D30" s="8" t="n">
        <v>5876205</v>
      </c>
      <c r="E30" s="9" t="n">
        <v>1792583.522727273</v>
      </c>
      <c r="F30" s="9" t="n">
        <v>65000</v>
      </c>
      <c r="G30" s="9" t="n">
        <v>1159137</v>
      </c>
      <c r="H30" s="10" t="n"/>
    </row>
    <row r="31">
      <c r="A31" s="5" t="n">
        <v>28</v>
      </c>
      <c r="B31" s="37" t="n">
        <v>46050</v>
      </c>
      <c r="C31" s="8">
        <f>SUM(D31:G31)</f>
        <v/>
      </c>
      <c r="D31" s="8" t="n">
        <v>7611025</v>
      </c>
      <c r="E31" s="9" t="n">
        <v>1792583.522727273</v>
      </c>
      <c r="F31" s="9" t="n">
        <v>0</v>
      </c>
      <c r="G31" s="9" t="n">
        <v>1159137</v>
      </c>
      <c r="H31" s="10" t="n"/>
    </row>
    <row r="32">
      <c r="A32" s="5" t="n">
        <v>29</v>
      </c>
      <c r="B32" s="37" t="n">
        <v>46053</v>
      </c>
      <c r="C32" s="8">
        <f>SUM(D32:G32)</f>
        <v/>
      </c>
      <c r="D32" s="8" t="n">
        <v>5800495</v>
      </c>
      <c r="E32" s="9" t="n">
        <v>1792583.522727273</v>
      </c>
      <c r="F32" s="9" t="n">
        <v>65000</v>
      </c>
      <c r="G32" s="9" t="n">
        <v>1159137</v>
      </c>
      <c r="H32" s="10" t="n"/>
    </row>
    <row r="33">
      <c r="A33" s="5" t="n">
        <v>30</v>
      </c>
      <c r="B33" s="36" t="n">
        <v>46065</v>
      </c>
      <c r="C33" s="8">
        <f>SUM(D33:G33)</f>
        <v/>
      </c>
      <c r="D33" s="8" t="n">
        <v>4553890</v>
      </c>
      <c r="E33" s="9" t="n">
        <v>1792583.522727273</v>
      </c>
      <c r="F33" s="9" t="n">
        <v>35000</v>
      </c>
      <c r="G33" s="9" t="n">
        <v>1159137</v>
      </c>
      <c r="H33" s="10" t="n"/>
    </row>
    <row r="34">
      <c r="A34" s="5" t="n">
        <v>31</v>
      </c>
      <c r="B34" s="37" t="n">
        <v>46078</v>
      </c>
      <c r="C34" s="8">
        <f>SUM(D34:G34)</f>
        <v/>
      </c>
      <c r="D34" s="8" t="n">
        <v>4503830</v>
      </c>
      <c r="E34" s="9" t="n">
        <v>1792583.522727273</v>
      </c>
      <c r="F34" s="9" t="n">
        <v>35000</v>
      </c>
      <c r="G34" s="9" t="n">
        <v>1159137</v>
      </c>
      <c r="H34" s="10" t="n"/>
    </row>
    <row r="35">
      <c r="A35" s="5" t="n">
        <v>32</v>
      </c>
      <c r="B35" s="37" t="n">
        <v>46088</v>
      </c>
      <c r="C35" s="8">
        <f>SUM(D35:G35)</f>
        <v/>
      </c>
      <c r="D35" s="8" t="n">
        <v>5761700</v>
      </c>
      <c r="E35" s="9" t="n">
        <v>1792583.522727273</v>
      </c>
      <c r="F35" s="9" t="n">
        <v>0</v>
      </c>
      <c r="G35" s="9" t="n">
        <v>1159137</v>
      </c>
      <c r="H35" s="10" t="n"/>
    </row>
    <row r="36">
      <c r="A36" s="5" t="n">
        <v>33</v>
      </c>
      <c r="B36" s="37" t="n">
        <v>46091</v>
      </c>
      <c r="C36" s="8">
        <f>SUM(D36:G36)</f>
        <v/>
      </c>
      <c r="D36" s="8" t="n">
        <v>5762130</v>
      </c>
      <c r="E36" s="9" t="n">
        <v>1792583.522727273</v>
      </c>
      <c r="F36" s="9" t="n">
        <v>65000</v>
      </c>
      <c r="G36" s="9" t="n">
        <v>1159137</v>
      </c>
      <c r="H36" s="10" t="n"/>
    </row>
    <row r="37">
      <c r="A37" s="5" t="n">
        <v>34</v>
      </c>
      <c r="B37" s="37" t="n">
        <v>46094</v>
      </c>
      <c r="C37" s="8">
        <f>SUM(D37:G37)</f>
        <v/>
      </c>
      <c r="D37" s="8" t="n">
        <v>4544110</v>
      </c>
      <c r="E37" s="9" t="n">
        <v>1792583.522727273</v>
      </c>
      <c r="F37" s="9" t="n">
        <v>0</v>
      </c>
      <c r="G37" s="9" t="n">
        <v>1159137</v>
      </c>
      <c r="H37" s="10" t="n"/>
    </row>
    <row r="38">
      <c r="A38" s="18" t="inlineStr">
        <is>
          <t>ПЛЕЙ-ОФФ</t>
        </is>
      </c>
      <c r="B38" s="19" t="n"/>
      <c r="C38" s="19" t="n"/>
      <c r="D38" s="19" t="n"/>
      <c r="E38" s="19" t="n"/>
      <c r="F38" s="19" t="n"/>
      <c r="G38" s="9" t="n"/>
      <c r="H38" s="20" t="n"/>
    </row>
    <row r="39">
      <c r="A39" s="5" t="n">
        <v>35</v>
      </c>
      <c r="B39" s="37" t="n">
        <v>46104</v>
      </c>
      <c r="C39" s="8">
        <f>SUM(D39:G39)</f>
        <v/>
      </c>
      <c r="D39" s="8" t="n">
        <v>9632575</v>
      </c>
      <c r="E39" s="9" t="n">
        <v>1792583.522727273</v>
      </c>
      <c r="F39" s="5" t="n">
        <v>0</v>
      </c>
      <c r="G39" s="9" t="n">
        <v>1159137</v>
      </c>
      <c r="H39" s="4" t="n"/>
    </row>
    <row r="40">
      <c r="A40" s="5" t="n">
        <v>36</v>
      </c>
      <c r="B40" s="37" t="n">
        <v>46106</v>
      </c>
      <c r="C40" s="8">
        <f>SUM(D40:G40)</f>
        <v/>
      </c>
      <c r="D40" s="8" t="n">
        <v>9978330</v>
      </c>
      <c r="E40" s="9" t="n">
        <v>1792583.522727273</v>
      </c>
      <c r="F40" s="5" t="n">
        <v>0</v>
      </c>
      <c r="G40" s="9" t="n">
        <v>1159137</v>
      </c>
      <c r="H40" s="4" t="n"/>
    </row>
    <row r="41">
      <c r="A41" s="5" t="n">
        <v>37</v>
      </c>
      <c r="B41" s="37" t="n">
        <v>46112</v>
      </c>
      <c r="C41" s="8">
        <f>SUM(D41:G41)</f>
        <v/>
      </c>
      <c r="D41" s="8" t="n">
        <v>10893165</v>
      </c>
      <c r="E41" s="9" t="n">
        <v>1792583.522727273</v>
      </c>
      <c r="F41" s="5" t="n">
        <v>0</v>
      </c>
      <c r="G41" s="9" t="n">
        <v>1159137</v>
      </c>
      <c r="H41" s="4" t="n"/>
    </row>
    <row r="42">
      <c r="A42" s="5" t="n">
        <v>38</v>
      </c>
      <c r="B42" s="37" t="n">
        <v>46125</v>
      </c>
      <c r="C42" s="8">
        <f>SUM(D42:G42)</f>
        <v/>
      </c>
      <c r="D42" s="8" t="n">
        <v>13514465</v>
      </c>
      <c r="E42" s="9" t="n">
        <v>1792583.522727273</v>
      </c>
      <c r="F42" s="5" t="n">
        <v>0</v>
      </c>
      <c r="G42" s="9" t="n">
        <v>1159137</v>
      </c>
      <c r="H42" s="4" t="n"/>
    </row>
    <row r="43">
      <c r="A43" s="5" t="n">
        <v>39</v>
      </c>
      <c r="B43" s="37" t="n">
        <v>46127</v>
      </c>
      <c r="C43" s="8">
        <f>SUM(D43:G43)</f>
        <v/>
      </c>
      <c r="D43" s="8" t="n">
        <v>13547040</v>
      </c>
      <c r="E43" s="9" t="n">
        <v>1792583.522727273</v>
      </c>
      <c r="F43" s="5" t="n">
        <v>85000</v>
      </c>
      <c r="G43" s="9" t="n">
        <v>1159137</v>
      </c>
      <c r="H43" s="4" t="n"/>
    </row>
    <row r="44">
      <c r="A44" s="5" t="n">
        <v>40</v>
      </c>
      <c r="B44" s="37" t="n">
        <v>46141</v>
      </c>
      <c r="C44" s="8">
        <f>SUM(D44:G44)</f>
        <v/>
      </c>
      <c r="D44" s="8" t="n">
        <v>16726255</v>
      </c>
      <c r="E44" s="9" t="n">
        <v>1792583.522727273</v>
      </c>
      <c r="F44" s="5" t="n">
        <v>120000</v>
      </c>
      <c r="G44" s="9" t="n">
        <v>1159137</v>
      </c>
      <c r="H44" s="4" t="n"/>
    </row>
    <row r="45">
      <c r="A45" s="5" t="n">
        <v>41</v>
      </c>
      <c r="B45" s="37" t="n">
        <v>46143</v>
      </c>
      <c r="C45" s="8">
        <f>SUM(D45:G45)</f>
        <v/>
      </c>
      <c r="D45" s="8" t="n">
        <v>16766640</v>
      </c>
      <c r="E45" s="9" t="n">
        <v>1792583.522727273</v>
      </c>
      <c r="F45" s="5" t="n">
        <v>0</v>
      </c>
      <c r="G45" s="9" t="n">
        <v>1159137</v>
      </c>
      <c r="H45" s="4" t="n"/>
    </row>
    <row r="46">
      <c r="A46" s="5" t="n">
        <v>42</v>
      </c>
      <c r="B46" s="37" t="n">
        <v>46157</v>
      </c>
      <c r="C46" s="8">
        <f>SUM(D46:G46)</f>
        <v/>
      </c>
      <c r="D46" s="8" t="n">
        <v>26352570</v>
      </c>
      <c r="E46" s="9" t="n">
        <v>1792583.522727273</v>
      </c>
      <c r="F46" s="5" t="n">
        <v>160000</v>
      </c>
      <c r="G46" s="9" t="n">
        <v>1159137</v>
      </c>
      <c r="H46" s="4" t="n"/>
    </row>
    <row r="47">
      <c r="A47" s="5" t="n">
        <v>43</v>
      </c>
      <c r="B47" s="37" t="n">
        <v>46159</v>
      </c>
      <c r="C47" s="8">
        <f>SUM(D47:G47)</f>
        <v/>
      </c>
      <c r="D47" s="8" t="n">
        <v>26441180</v>
      </c>
      <c r="E47" s="9" t="n">
        <v>1792583.522727273</v>
      </c>
      <c r="F47" s="5" t="n">
        <v>160000</v>
      </c>
      <c r="G47" s="9" t="n">
        <v>1159137</v>
      </c>
      <c r="H47" s="4" t="n"/>
    </row>
    <row r="48">
      <c r="A48" s="5" t="n">
        <v>44</v>
      </c>
      <c r="B48" s="37" t="n">
        <v>46163</v>
      </c>
      <c r="C48" s="8">
        <f>SUM(D48:G48)</f>
        <v/>
      </c>
      <c r="D48" s="8" t="n">
        <v>36922350</v>
      </c>
      <c r="E48" s="9" t="n">
        <v>1792583.522727273</v>
      </c>
      <c r="F48" s="5" t="n">
        <v>200000</v>
      </c>
      <c r="G48" s="9" t="n">
        <v>1159137</v>
      </c>
      <c r="H48" s="4" t="n"/>
    </row>
    <row r="49">
      <c r="C49" s="41" t="n"/>
      <c r="D49" s="41" t="n"/>
      <c r="E49" s="41" t="n"/>
      <c r="F49" s="41" t="n"/>
      <c r="G49" s="41" t="n"/>
    </row>
    <row r="50">
      <c r="A50" s="28" t="inlineStr">
        <is>
          <t>* Если абонементы продавались на сезон или несколько матчей, то необходимо разделить полученный доход на количество игр и указать результат в поматчевой разбивке</t>
        </is>
      </c>
    </row>
    <row r="51">
      <c r="A51" s="28" t="inlineStr">
        <is>
          <t>** Места, в стоимость которых включен кейтеринг. Указывается только стоимость места без стоимости кейтеринга</t>
        </is>
      </c>
    </row>
    <row r="52">
      <c r="A52" s="28" t="inlineStr">
        <is>
          <t>*** Если ложи реализовывались на весь сезон или несколько матчей, то необходимо разделить полученный доход на количество игр и указать результат в поматчевой разбивке. Указывается только стоимость мест в ложе без стооимсти кейтеринга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K9" sqref="K9"/>
    </sheetView>
  </sheetViews>
  <sheetFormatPr baseColWidth="8" defaultColWidth="11.125" defaultRowHeight="15.75"/>
  <cols>
    <col width="22.625" customWidth="1" style="48" min="1" max="1"/>
    <col width="13.5" customWidth="1" style="48" min="2" max="2"/>
    <col width="15" customWidth="1" style="30" min="3" max="4"/>
  </cols>
  <sheetData>
    <row r="1" ht="17.25" customHeight="1" s="48">
      <c r="A1" s="2" t="inlineStr">
        <is>
          <t>Реализация билетов через агентов *</t>
        </is>
      </c>
      <c r="B1" s="2" t="n"/>
      <c r="C1" s="29" t="n"/>
      <c r="D1" s="29" t="n"/>
      <c r="E1" s="2" t="n"/>
      <c r="F1" s="2" t="n"/>
      <c r="G1" s="2" t="n"/>
      <c r="H1" s="2" t="n"/>
      <c r="I1" s="2" t="n"/>
    </row>
    <row r="2" ht="15.95" customHeight="1" s="48">
      <c r="A2" s="45" t="inlineStr">
        <is>
          <t>Название агента</t>
        </is>
      </c>
      <c r="B2" s="45" t="inlineStr">
        <is>
          <t>Реализовано билетов на матчи, всего, шт.</t>
        </is>
      </c>
      <c r="C2" s="45" t="inlineStr">
        <is>
          <t>Доход клуба от реализации платных билетов на матч, руб.</t>
        </is>
      </c>
      <c r="D2" s="45" t="inlineStr">
        <is>
          <t>Размер агентской комиссии, %</t>
        </is>
      </c>
      <c r="E2" s="50" t="n"/>
      <c r="F2" s="49" t="n"/>
      <c r="G2" s="49" t="n"/>
    </row>
    <row r="3" ht="57" customHeight="1" s="48">
      <c r="A3" s="51" t="n"/>
      <c r="B3" s="51" t="n"/>
      <c r="C3" s="51" t="n"/>
      <c r="D3" s="51" t="n"/>
      <c r="E3" s="52" t="n"/>
    </row>
    <row r="4">
      <c r="A4" s="5" t="inlineStr">
        <is>
          <t xml:space="preserve"> - </t>
        </is>
      </c>
      <c r="B4" s="5" t="inlineStr">
        <is>
          <t xml:space="preserve"> - </t>
        </is>
      </c>
      <c r="C4" s="5" t="inlineStr">
        <is>
          <t xml:space="preserve"> - </t>
        </is>
      </c>
      <c r="D4" s="5" t="inlineStr">
        <is>
          <t xml:space="preserve"> - </t>
        </is>
      </c>
      <c r="E4" s="3" t="n"/>
      <c r="F4" s="3" t="n"/>
      <c r="G4" s="3" t="n"/>
    </row>
    <row r="5">
      <c r="A5" s="1" t="n"/>
      <c r="B5" s="12" t="n"/>
      <c r="C5" s="13" t="n"/>
      <c r="D5" s="14" t="n"/>
      <c r="E5" s="3" t="n"/>
      <c r="F5" s="3" t="n"/>
      <c r="G5" s="3" t="n"/>
    </row>
    <row r="6"/>
    <row r="7" ht="17.25" customHeight="1" s="48">
      <c r="A7" s="2" t="n"/>
      <c r="B7" s="2" t="n"/>
      <c r="C7" s="29" t="n"/>
      <c r="D7" s="29" t="n"/>
      <c r="E7" s="2" t="n"/>
      <c r="F7" s="2" t="n"/>
    </row>
    <row r="8" ht="17.25" customHeight="1" s="48">
      <c r="A8" s="2" t="inlineStr">
        <is>
          <t>Реализация билетов через каналы продаж *</t>
        </is>
      </c>
      <c r="B8" s="2" t="n"/>
      <c r="C8" s="29" t="n"/>
      <c r="D8" s="29" t="n"/>
      <c r="E8" s="2" t="n"/>
      <c r="F8" s="2" t="n"/>
    </row>
    <row r="9" ht="71.09999999999999" customHeight="1" s="48">
      <c r="A9" s="15" t="inlineStr">
        <is>
          <t>Канал продаж</t>
        </is>
      </c>
      <c r="B9" s="15" t="inlineStr">
        <is>
          <t>Реализовано билетов на матчи, всего, шт.</t>
        </is>
      </c>
      <c r="C9" s="31" t="inlineStr">
        <is>
          <t>Доход от реализации платных билетов на матч, руб.</t>
        </is>
      </c>
      <c r="D9" s="21" t="n"/>
      <c r="E9" s="21" t="n"/>
    </row>
    <row r="10">
      <c r="A10" s="1" t="inlineStr">
        <is>
          <t>Онлайн</t>
        </is>
      </c>
      <c r="B10" s="42" t="n">
        <v>198531</v>
      </c>
      <c r="C10" s="43" t="n">
        <v>328213390</v>
      </c>
      <c r="D10" s="23" t="n"/>
      <c r="E10" s="24" t="n"/>
    </row>
    <row r="11">
      <c r="A11" s="4" t="inlineStr">
        <is>
          <t>Оффлайн</t>
        </is>
      </c>
      <c r="B11" s="42" t="n">
        <v>35703</v>
      </c>
      <c r="C11" s="43" t="n">
        <v>50932301.8</v>
      </c>
    </row>
    <row r="12">
      <c r="A12" s="4" t="inlineStr">
        <is>
          <t>Через агентов онлайн</t>
        </is>
      </c>
      <c r="B12" s="5" t="inlineStr">
        <is>
          <t xml:space="preserve"> - </t>
        </is>
      </c>
      <c r="C12" s="5" t="inlineStr">
        <is>
          <t xml:space="preserve"> - </t>
        </is>
      </c>
    </row>
    <row r="13">
      <c r="A13" s="4" t="inlineStr">
        <is>
          <t>Через агентов оффлайн</t>
        </is>
      </c>
      <c r="B13" s="5" t="inlineStr">
        <is>
          <t xml:space="preserve"> - </t>
        </is>
      </c>
      <c r="C13" s="5" t="inlineStr">
        <is>
          <t xml:space="preserve"> - </t>
        </is>
      </c>
    </row>
    <row r="14"/>
    <row r="15">
      <c r="A15" t="inlineStr">
        <is>
          <t>* Необходимо указать данные за весь сезон (включая плей-офф)</t>
        </is>
      </c>
    </row>
  </sheetData>
  <mergeCells count="8">
    <mergeCell ref="C2:C3"/>
    <mergeCell ref="A6:F6"/>
    <mergeCell ref="A2:A3"/>
    <mergeCell ref="B2:B3"/>
    <mergeCell ref="D2:D3"/>
    <mergeCell ref="F2:F3"/>
    <mergeCell ref="E2:E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64"/>
  <sheetViews>
    <sheetView workbookViewId="0">
      <selection activeCell="A1" sqref="A1"/>
    </sheetView>
  </sheetViews>
  <sheetFormatPr baseColWidth="8" defaultRowHeight="15"/>
  <cols>
    <col width="42" customWidth="1" style="48" min="2" max="2"/>
    <col width="18" customWidth="1" style="48" min="3" max="3"/>
    <col width="12" customWidth="1" style="48" min="4" max="4"/>
    <col width="46" customWidth="1" style="48" min="5" max="5"/>
  </cols>
  <sheetData>
    <row r="1">
      <c r="B1" s="53" t="inlineStr">
        <is>
          <t>Расчёт метрик билетной программы — сезон 2025/2026</t>
        </is>
      </c>
      <c r="C1" s="54" t="n"/>
      <c r="D1" s="54" t="n"/>
      <c r="E1" s="55" t="n"/>
    </row>
    <row r="2">
      <c r="B2" s="54" t="n"/>
      <c r="C2" s="54" t="n"/>
      <c r="D2" s="54" t="n"/>
      <c r="E2" s="55" t="n"/>
      <c r="G2" s="56" t="inlineStr">
        <is>
          <t>Вместимость арены, чел.:</t>
        </is>
      </c>
      <c r="H2" s="57" t="n">
        <v>8965</v>
      </c>
    </row>
    <row r="3">
      <c r="B3" s="58" t="inlineStr">
        <is>
          <t>1. Реализация билетов, шт.</t>
        </is>
      </c>
      <c r="C3" s="59" t="n"/>
      <c r="D3" s="59" t="n"/>
      <c r="E3" s="60" t="n"/>
    </row>
    <row r="4">
      <c r="B4" s="61" t="inlineStr">
        <is>
          <t>Показатель</t>
        </is>
      </c>
      <c r="C4" s="61" t="inlineStr">
        <is>
          <t>Значение</t>
        </is>
      </c>
      <c r="D4" s="61" t="inlineStr">
        <is>
          <t>Ед.</t>
        </is>
      </c>
      <c r="E4" s="62" t="inlineStr">
        <is>
          <t>Формула / комментарий</t>
        </is>
      </c>
    </row>
    <row r="5">
      <c r="B5" s="63" t="inlineStr">
        <is>
          <t>Посещаемость за сезон (всего проходов)</t>
        </is>
      </c>
      <c r="C5" s="64">
        <f>(SUM('Реализованные билеты'!K5:K38)+SUM('Реализованные билеты'!K40:K49))</f>
        <v/>
      </c>
      <c r="D5" s="63" t="inlineStr">
        <is>
          <t>чел.</t>
        </is>
      </c>
      <c r="E5" s="65" t="inlineStr">
        <is>
          <t>гр. K — сумма разовых, абонементов, лож</t>
        </is>
      </c>
    </row>
    <row r="6">
      <c r="B6" s="63" t="inlineStr">
        <is>
          <t xml:space="preserve">   регулярный чемпионат</t>
        </is>
      </c>
      <c r="C6" s="64">
        <f>SUM('Реализованные билеты'!K5:K38)</f>
        <v/>
      </c>
      <c r="D6" s="63" t="inlineStr">
        <is>
          <t>чел.</t>
        </is>
      </c>
      <c r="E6" s="55" t="n"/>
    </row>
    <row r="7">
      <c r="B7" s="63" t="inlineStr">
        <is>
          <t xml:space="preserve">   плей-офф</t>
        </is>
      </c>
      <c r="C7" s="64">
        <f>SUM('Реализованные билеты'!K40:K49)</f>
        <v/>
      </c>
      <c r="D7" s="63" t="inlineStr">
        <is>
          <t>чел.</t>
        </is>
      </c>
      <c r="E7" s="55" t="n"/>
    </row>
    <row r="8">
      <c r="B8" s="63" t="inlineStr">
        <is>
          <t>Платные билеты на матч (разовые)</t>
        </is>
      </c>
      <c r="C8" s="64">
        <f>(SUM('Реализованные билеты'!C5:C38)+SUM('Реализованные билеты'!C40:C49))</f>
        <v/>
      </c>
      <c r="D8" s="63" t="inlineStr">
        <is>
          <t>шт.</t>
        </is>
      </c>
      <c r="E8" s="65" t="inlineStr">
        <is>
          <t>гр. C</t>
        </is>
      </c>
    </row>
    <row r="9">
      <c r="B9" s="63" t="inlineStr">
        <is>
          <t>Бесплатные билеты на матч (разовые)</t>
        </is>
      </c>
      <c r="C9" s="64">
        <f>(SUM('Реализованные билеты'!D5:D38)+SUM('Реализованные билеты'!D40:D49))</f>
        <v/>
      </c>
      <c r="D9" s="63" t="inlineStr">
        <is>
          <t>шт.</t>
        </is>
      </c>
      <c r="E9" s="65" t="inlineStr">
        <is>
          <t>гр. D</t>
        </is>
      </c>
    </row>
    <row r="10">
      <c r="B10" s="63" t="inlineStr">
        <is>
          <t>Платных абонементов/пакетов (продано)</t>
        </is>
      </c>
      <c r="C10" s="64">
        <f>MAX(MAX('Реализованные билеты'!E5:E38),MAX('Реализованные билеты'!E40:E49))</f>
        <v/>
      </c>
      <c r="D10" s="63" t="inlineStr">
        <is>
          <t>шт.</t>
        </is>
      </c>
      <c r="E10" s="65" t="inlineStr">
        <is>
          <t>MAX действующих, гр. E</t>
        </is>
      </c>
    </row>
    <row r="11">
      <c r="B11" s="63" t="inlineStr">
        <is>
          <t>Бесплатных абонементов/пакетов (продано)</t>
        </is>
      </c>
      <c r="C11" s="64">
        <f>MAX(MAX('Реализованные билеты'!F5:F38),MAX('Реализованные билеты'!F40:F49))</f>
        <v/>
      </c>
      <c r="D11" s="63" t="inlineStr">
        <is>
          <t>шт.</t>
        </is>
      </c>
      <c r="E11" s="65" t="inlineStr">
        <is>
          <t>MAX по гр. F</t>
        </is>
      </c>
    </row>
    <row r="12">
      <c r="B12" s="63" t="inlineStr">
        <is>
          <t xml:space="preserve">   абонемент-посещения за сезон (справочно)</t>
        </is>
      </c>
      <c r="C12" s="64">
        <f>(SUM('Реализованные билеты'!E5:E38)+SUM('Реализованные билеты'!E40:E49))+(SUM('Реализованные билеты'!F5:F38)+SUM('Реализованные билеты'!F40:F49))</f>
        <v/>
      </c>
      <c r="D12" s="63" t="inlineStr">
        <is>
          <t>чел.</t>
        </is>
      </c>
      <c r="E12" s="55" t="n"/>
    </row>
    <row r="13">
      <c r="B13" s="63" t="inlineStr">
        <is>
          <t>Платные билеты в бизнес-клубы/рестораны</t>
        </is>
      </c>
      <c r="C13" s="64">
        <f>(SUM('Реализованные билеты'!G5:G38)+SUM('Реализованные билеты'!G40:G49))</f>
        <v/>
      </c>
      <c r="D13" s="63" t="inlineStr">
        <is>
          <t>шт.</t>
        </is>
      </c>
      <c r="E13" s="65" t="inlineStr">
        <is>
          <t>гр. G</t>
        </is>
      </c>
    </row>
    <row r="14">
      <c r="B14" s="63" t="inlineStr">
        <is>
          <t>Бесплатные билеты в бизнес-клубы/рестораны</t>
        </is>
      </c>
      <c r="C14" s="64">
        <f>(SUM('Реализованные билеты'!H5:H38)+SUM('Реализованные билеты'!H40:H49))</f>
        <v/>
      </c>
      <c r="D14" s="63" t="inlineStr">
        <is>
          <t>шт.</t>
        </is>
      </c>
      <c r="E14" s="65" t="inlineStr">
        <is>
          <t>гр. H</t>
        </is>
      </c>
    </row>
    <row r="15">
      <c r="B15" s="63" t="inlineStr">
        <is>
          <t>Платные места в ложах</t>
        </is>
      </c>
      <c r="C15" s="64">
        <f>(SUM('Реализованные билеты'!I5:I38)+SUM('Реализованные билеты'!I40:I49))</f>
        <v/>
      </c>
      <c r="D15" s="63" t="inlineStr">
        <is>
          <t>шт.</t>
        </is>
      </c>
      <c r="E15" s="65" t="inlineStr">
        <is>
          <t>гр. I</t>
        </is>
      </c>
    </row>
    <row r="16">
      <c r="B16" s="63" t="inlineStr">
        <is>
          <t>Бесплатные места в ложах</t>
        </is>
      </c>
      <c r="C16" s="64">
        <f>(SUM('Реализованные билеты'!J5:J38)+SUM('Реализованные билеты'!J40:J49))</f>
        <v/>
      </c>
      <c r="D16" s="63" t="inlineStr">
        <is>
          <t>шт.</t>
        </is>
      </c>
      <c r="E16" s="65" t="inlineStr">
        <is>
          <t>гр. J</t>
        </is>
      </c>
    </row>
    <row r="17">
      <c r="B17" s="54" t="n"/>
      <c r="C17" s="54" t="n"/>
      <c r="D17" s="54" t="n"/>
      <c r="E17" s="55" t="n"/>
    </row>
    <row r="18">
      <c r="B18" s="63" t="inlineStr">
        <is>
          <t>Всего бесплатных билетов (без абонементов)</t>
        </is>
      </c>
      <c r="C18" s="64">
        <f>((SUM('Реализованные билеты'!D5:D38)+SUM('Реализованные билеты'!D40:D49))+(SUM('Реализованные билеты'!H5:H38)+SUM('Реализованные билеты'!H40:H49))+(SUM('Реализованные билеты'!J5:J38)+SUM('Реализованные билеты'!J40:J49)))</f>
        <v/>
      </c>
      <c r="D18" s="63" t="inlineStr">
        <is>
          <t>шт.</t>
        </is>
      </c>
      <c r="E18" s="55" t="n"/>
    </row>
    <row r="19">
      <c r="B19" s="63" t="inlineStr">
        <is>
          <t>Доля бесплатных билетов</t>
        </is>
      </c>
      <c r="C19" s="66">
        <f>IFERROR(((SUM('Реализованные билеты'!D5:D38)+SUM('Реализованные билеты'!D40:D49))+(SUM('Реализованные билеты'!H5:H38)+SUM('Реализованные билеты'!H40:H49))+(SUM('Реализованные билеты'!J5:J38)+SUM('Реализованные билеты'!J40:J49)))/((SUM('Реализованные билеты'!K5:K38)+SUM('Реализованные билеты'!K40:K49))-(SUM('Реализованные билеты'!E5:E38)+SUM('Реализованные билеты'!E40:E49))-(SUM('Реализованные билеты'!F5:F38)+SUM('Реализованные билеты'!F40:F49))),0)</f>
        <v/>
      </c>
      <c r="D19" s="63" t="inlineStr">
        <is>
          <t>%</t>
        </is>
      </c>
      <c r="E19" s="65" t="inlineStr">
        <is>
          <t>бесплатные / (проходы − абонементы)</t>
        </is>
      </c>
    </row>
    <row r="20">
      <c r="B20" s="54" t="n"/>
      <c r="C20" s="54" t="n"/>
      <c r="D20" s="54" t="n"/>
      <c r="E20" s="55" t="n"/>
    </row>
    <row r="21">
      <c r="B21" s="63" t="inlineStr">
        <is>
          <t>Матчей регулярного чемпионата</t>
        </is>
      </c>
      <c r="C21" s="64">
        <f>COUNT('Реализованные билеты'!A5:A38)</f>
        <v/>
      </c>
      <c r="D21" s="63" t="inlineStr">
        <is>
          <t>шт.</t>
        </is>
      </c>
      <c r="E21" s="55" t="n"/>
    </row>
    <row r="22">
      <c r="B22" s="63" t="inlineStr">
        <is>
          <t>Матчей плей-офф</t>
        </is>
      </c>
      <c r="C22" s="64">
        <f>COUNT('Реализованные билеты'!A40:A49)</f>
        <v/>
      </c>
      <c r="D22" s="63" t="inlineStr">
        <is>
          <t>шт.</t>
        </is>
      </c>
      <c r="E22" s="55" t="n"/>
    </row>
    <row r="23">
      <c r="B23" s="63" t="inlineStr">
        <is>
          <t>Средняя посещаемость (регулярка)</t>
        </is>
      </c>
      <c r="C23" s="64">
        <f>IFERROR(SUM('Реализованные билеты'!K5:K38)/COUNT('Реализованные билеты'!A5:A38),0)</f>
        <v/>
      </c>
      <c r="D23" s="63" t="inlineStr">
        <is>
          <t>зрит./матч</t>
        </is>
      </c>
      <c r="E23" s="55" t="n"/>
    </row>
    <row r="24">
      <c r="B24" s="63" t="inlineStr">
        <is>
          <t>Средняя посещаемость (плей-офф)</t>
        </is>
      </c>
      <c r="C24" s="64">
        <f>IFERROR(SUM('Реализованные билеты'!K40:K49)/COUNT('Реализованные билеты'!A40:A49),0)</f>
        <v/>
      </c>
      <c r="D24" s="63" t="inlineStr">
        <is>
          <t>зрит./матч</t>
        </is>
      </c>
      <c r="E24" s="55" t="n"/>
    </row>
    <row r="25">
      <c r="B25" s="63" t="inlineStr">
        <is>
          <t>Средняя посещаемость (сезон)</t>
        </is>
      </c>
      <c r="C25" s="64">
        <f>IFERROR((SUM('Реализованные билеты'!K5:K38)+SUM('Реализованные билеты'!K40:K49))/(COUNT('Реализованные билеты'!A5:A38)+COUNT('Реализованные билеты'!A40:A49)),0)</f>
        <v/>
      </c>
      <c r="D25" s="63" t="inlineStr">
        <is>
          <t>зрит./матч</t>
        </is>
      </c>
      <c r="E25" s="55" t="n"/>
    </row>
    <row r="26">
      <c r="B26" s="54" t="n"/>
      <c r="C26" s="54" t="n"/>
      <c r="D26" s="54" t="n"/>
      <c r="E26" s="55" t="n"/>
    </row>
    <row r="27">
      <c r="B27" s="63" t="inlineStr">
        <is>
          <t>Вместимость арены</t>
        </is>
      </c>
      <c r="C27" s="64">
        <f>$H$2</f>
        <v/>
      </c>
      <c r="D27" s="63" t="inlineStr">
        <is>
          <t>мест</t>
        </is>
      </c>
      <c r="E27" s="65" t="inlineStr">
        <is>
          <t>изменяемый параметр в ячейке H2</t>
        </is>
      </c>
    </row>
    <row r="28">
      <c r="B28" s="63" t="inlineStr">
        <is>
          <t>Суммарная посещаемость (регулярка)</t>
        </is>
      </c>
      <c r="C28" s="64">
        <f>SUM('Реализованные билеты'!K5:K38)</f>
        <v/>
      </c>
      <c r="D28" s="63" t="inlineStr">
        <is>
          <t>зрит.</t>
        </is>
      </c>
      <c r="E28" s="55" t="n"/>
    </row>
    <row r="29">
      <c r="B29" s="63" t="inlineStr">
        <is>
          <t>Теоретическая ёмкость (регулярка)</t>
        </is>
      </c>
      <c r="C29" s="64">
        <f>$H$2*COUNT('Реализованные билеты'!A5:A38)</f>
        <v/>
      </c>
      <c r="D29" s="63" t="inlineStr">
        <is>
          <t>мест</t>
        </is>
      </c>
      <c r="E29" s="55" t="n"/>
    </row>
    <row r="30">
      <c r="B30" s="63" t="inlineStr">
        <is>
          <t>Заполняемость арены (регулярка)</t>
        </is>
      </c>
      <c r="C30" s="66">
        <f>IFERROR((SUM('Реализованные билеты'!K5:K38)/COUNT('Реализованные билеты'!A5:A38))/$H$2,0)</f>
        <v/>
      </c>
      <c r="D30" s="63" t="inlineStr">
        <is>
          <t>%</t>
        </is>
      </c>
      <c r="E30" s="65" t="inlineStr">
        <is>
          <t>средняя посещаемость / вместимость</t>
        </is>
      </c>
    </row>
    <row r="31">
      <c r="B31" s="54" t="n"/>
      <c r="C31" s="54" t="n"/>
      <c r="D31" s="54" t="n"/>
      <c r="E31" s="55" t="n"/>
    </row>
    <row r="32">
      <c r="B32" s="58" t="inlineStr">
        <is>
          <t>2. Доход от реализации билетов, руб.</t>
        </is>
      </c>
      <c r="C32" s="59" t="n"/>
      <c r="D32" s="59" t="n"/>
      <c r="E32" s="60" t="n"/>
    </row>
    <row r="33">
      <c r="B33" s="61" t="inlineStr">
        <is>
          <t>Показатель</t>
        </is>
      </c>
      <c r="C33" s="61" t="inlineStr">
        <is>
          <t>Значение</t>
        </is>
      </c>
      <c r="D33" s="61" t="inlineStr">
        <is>
          <t>Ед.</t>
        </is>
      </c>
      <c r="E33" s="62" t="inlineStr">
        <is>
          <t>Формула / комментарий</t>
        </is>
      </c>
    </row>
    <row r="34">
      <c r="B34" s="63" t="inlineStr">
        <is>
          <t>Доход — всего за сезон</t>
        </is>
      </c>
      <c r="C34" s="67">
        <f>(SUM('Доход от реализации билетов'!C4:C37)+SUM('Доход от реализации билетов'!C39:C48))</f>
        <v/>
      </c>
      <c r="D34" s="63" t="inlineStr">
        <is>
          <t>руб.</t>
        </is>
      </c>
      <c r="E34" s="65" t="inlineStr">
        <is>
          <t>гр. C</t>
        </is>
      </c>
    </row>
    <row r="35">
      <c r="B35" s="63" t="inlineStr">
        <is>
          <t xml:space="preserve">   регулярный чемпионат</t>
        </is>
      </c>
      <c r="C35" s="67">
        <f>SUM('Доход от реализации билетов'!C4:C37)</f>
        <v/>
      </c>
      <c r="D35" s="63" t="inlineStr">
        <is>
          <t>руб.</t>
        </is>
      </c>
      <c r="E35" s="55" t="n"/>
    </row>
    <row r="36">
      <c r="B36" s="63" t="inlineStr">
        <is>
          <t xml:space="preserve">   плей-офф</t>
        </is>
      </c>
      <c r="C36" s="67">
        <f>SUM('Доход от реализации билетов'!C39:C48)</f>
        <v/>
      </c>
      <c r="D36" s="63" t="inlineStr">
        <is>
          <t>руб.</t>
        </is>
      </c>
      <c r="E36" s="55" t="n"/>
    </row>
    <row r="37">
      <c r="B37" s="63" t="inlineStr">
        <is>
          <t>Доход от платных билетов</t>
        </is>
      </c>
      <c r="C37" s="67">
        <f>(SUM('Доход от реализации билетов'!D4:D37)+SUM('Доход от реализации билетов'!D39:D48))</f>
        <v/>
      </c>
      <c r="D37" s="63" t="inlineStr">
        <is>
          <t>руб.</t>
        </is>
      </c>
      <c r="E37" s="65" t="inlineStr">
        <is>
          <t>гр. D</t>
        </is>
      </c>
    </row>
    <row r="38">
      <c r="B38" s="63" t="inlineStr">
        <is>
          <t>Доход от абонементов/пакетов</t>
        </is>
      </c>
      <c r="C38" s="67">
        <f>(SUM('Доход от реализации билетов'!E4:E37)+SUM('Доход от реализации билетов'!E39:E48))</f>
        <v/>
      </c>
      <c r="D38" s="63" t="inlineStr">
        <is>
          <t>руб.</t>
        </is>
      </c>
      <c r="E38" s="65" t="inlineStr">
        <is>
          <t>гр. E</t>
        </is>
      </c>
    </row>
    <row r="39">
      <c r="B39" s="63" t="inlineStr">
        <is>
          <t>Стоимость абонемента (за сезон)</t>
        </is>
      </c>
      <c r="C39" s="67">
        <f>IFERROR((SUM('Доход от реализации билетов'!E4:E37)+SUM('Доход от реализации билетов'!E39:E48))/MAX(MAX('Реализованные билеты'!E5:E38),MAX('Реализованные билеты'!E40:E49)),0)</f>
        <v/>
      </c>
      <c r="D39" s="63" t="inlineStr">
        <is>
          <t>руб.</t>
        </is>
      </c>
      <c r="E39" s="65" t="inlineStr">
        <is>
          <t>доход абон. / число владельцев</t>
        </is>
      </c>
    </row>
    <row r="40">
      <c r="B40" s="63" t="inlineStr">
        <is>
          <t>Доход от бизнес-клубов/ресторанов</t>
        </is>
      </c>
      <c r="C40" s="67">
        <f>(SUM('Доход от реализации билетов'!F4:F37)+SUM('Доход от реализации билетов'!F39:F48))</f>
        <v/>
      </c>
      <c r="D40" s="63" t="inlineStr">
        <is>
          <t>руб.</t>
        </is>
      </c>
      <c r="E40" s="65" t="inlineStr">
        <is>
          <t>гр. F</t>
        </is>
      </c>
    </row>
    <row r="41">
      <c r="B41" s="63" t="inlineStr">
        <is>
          <t>Доход от лож</t>
        </is>
      </c>
      <c r="C41" s="67">
        <f>(SUM('Доход от реализации билетов'!G4:G37)+SUM('Доход от реализации билетов'!G39:G48))</f>
        <v/>
      </c>
      <c r="D41" s="63" t="inlineStr">
        <is>
          <t>руб.</t>
        </is>
      </c>
      <c r="E41" s="65" t="inlineStr">
        <is>
          <t>гр. G</t>
        </is>
      </c>
    </row>
    <row r="42">
      <c r="B42" s="54" t="n"/>
      <c r="C42" s="54" t="n"/>
      <c r="D42" s="54" t="n"/>
      <c r="E42" s="55" t="n"/>
    </row>
    <row r="43">
      <c r="B43" s="63" t="inlineStr">
        <is>
          <t>Средняя цена платного билета (регулярка)</t>
        </is>
      </c>
      <c r="C43" s="67">
        <f>IFERROR(SUM('Доход от реализации билетов'!D4:D37)/SUM('Реализованные билеты'!C5:C38),0)</f>
        <v/>
      </c>
      <c r="D43" s="63" t="inlineStr">
        <is>
          <t>руб.</t>
        </is>
      </c>
      <c r="E43" s="65" t="inlineStr">
        <is>
          <t>доход платн. / платные билеты</t>
        </is>
      </c>
    </row>
    <row r="44">
      <c r="B44" s="63" t="inlineStr">
        <is>
          <t>Средняя цена платного билета (сезон)</t>
        </is>
      </c>
      <c r="C44" s="67">
        <f>IFERROR((SUM('Доход от реализации билетов'!D4:D37)+SUM('Доход от реализации билетов'!D39:D48))/(SUM('Реализованные билеты'!C5:C38)+SUM('Реализованные билеты'!C40:C49)),0)</f>
        <v/>
      </c>
      <c r="D44" s="63" t="inlineStr">
        <is>
          <t>руб.</t>
        </is>
      </c>
      <c r="E44" s="55" t="n"/>
    </row>
    <row r="45">
      <c r="B45" s="54" t="n"/>
      <c r="C45" s="54" t="n"/>
      <c r="D45" s="54" t="n"/>
      <c r="E45" s="55" t="n"/>
    </row>
    <row r="46">
      <c r="B46" s="58" t="inlineStr">
        <is>
          <t>3. Каналы продаж</t>
        </is>
      </c>
      <c r="C46" s="59" t="n"/>
      <c r="D46" s="59" t="n"/>
      <c r="E46" s="60" t="n"/>
    </row>
    <row r="47">
      <c r="B47" s="61" t="inlineStr">
        <is>
          <t>Показатель</t>
        </is>
      </c>
      <c r="C47" s="61" t="inlineStr">
        <is>
          <t>Значение</t>
        </is>
      </c>
      <c r="D47" s="61" t="inlineStr">
        <is>
          <t>Ед.</t>
        </is>
      </c>
      <c r="E47" s="62" t="inlineStr">
        <is>
          <t>Формула / комментарий</t>
        </is>
      </c>
    </row>
    <row r="48">
      <c r="B48" s="63" t="inlineStr">
        <is>
          <t>Продажи онлайн</t>
        </is>
      </c>
      <c r="C48" s="64">
        <f>(IF(ISNUMBER('Агенты и онлайн продажи'!B10),'Агенты и онлайн продажи'!B10,0)+IF(ISNUMBER('Агенты и онлайн продажи'!B12),'Агенты и онлайн продажи'!B12,0))</f>
        <v/>
      </c>
      <c r="D48" s="63" t="inlineStr">
        <is>
          <t>шт.</t>
        </is>
      </c>
      <c r="E48" s="55" t="n"/>
    </row>
    <row r="49">
      <c r="B49" s="63" t="inlineStr">
        <is>
          <t>Продажи оффлайн</t>
        </is>
      </c>
      <c r="C49" s="64">
        <f>(IF(ISNUMBER('Агенты и онлайн продажи'!B11),'Агенты и онлайн продажи'!B11,0)+IF(ISNUMBER('Агенты и онлайн продажи'!B13),'Агенты и онлайн продажи'!B13,0))</f>
        <v/>
      </c>
      <c r="D49" s="63" t="inlineStr">
        <is>
          <t>шт.</t>
        </is>
      </c>
      <c r="E49" s="55" t="n"/>
    </row>
    <row r="50">
      <c r="B50" s="63" t="inlineStr">
        <is>
          <t>Всего по каналам</t>
        </is>
      </c>
      <c r="C50" s="64">
        <f>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</f>
        <v/>
      </c>
      <c r="D50" s="63" t="inlineStr">
        <is>
          <t>шт.</t>
        </is>
      </c>
      <c r="E50" s="55" t="n"/>
    </row>
    <row r="51">
      <c r="B51" s="63" t="inlineStr">
        <is>
          <t>Доля онлайн-продаж</t>
        </is>
      </c>
      <c r="C51" s="66">
        <f>IF(((IF(ISNUMBER('Агенты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продажи'!B13,0)))=0,"нет данных",(IF(ISNUMBER('Агенты и онлайн продажи'!B10),'Агенты и онлайн продажи'!B10,0)+IF(ISNUMBER('Агенты и онлайн продажи'!B12),'Агенты и онлайн продажи'!B12,0))/((IF(ISNUMBER('Агенты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продажи'!B13,0))))</f>
        <v/>
      </c>
      <c r="D51" s="63" t="inlineStr">
        <is>
          <t>%</t>
        </is>
      </c>
      <c r="E51" s="55" t="n"/>
    </row>
    <row r="52">
      <c r="B52" s="63" t="inlineStr">
        <is>
          <t>Агентская комиссия</t>
        </is>
      </c>
      <c r="C52" s="66">
        <f>IF(ISNUMBER('Агенты и онлайн продажи'!D3),'Агенты и онлайн продажи'!D3/100,"нет данных")</f>
        <v/>
      </c>
      <c r="D52" s="63" t="inlineStr">
        <is>
          <t>%</t>
        </is>
      </c>
      <c r="E52" s="55" t="n"/>
    </row>
    <row r="53">
      <c r="B53" s="54" t="n"/>
      <c r="C53" s="54" t="n"/>
      <c r="D53" s="54" t="n"/>
      <c r="E53" s="55" t="n"/>
    </row>
    <row r="54">
      <c r="B54" s="58" t="inlineStr">
        <is>
          <t>4. Диагностика данных</t>
        </is>
      </c>
      <c r="C54" s="59" t="n"/>
      <c r="D54" s="59" t="n"/>
      <c r="E54" s="60" t="n"/>
    </row>
    <row r="55">
      <c r="B55" s="68" t="inlineStr">
        <is>
          <t>Показатель</t>
        </is>
      </c>
      <c r="C55" s="68" t="inlineStr">
        <is>
          <t>Статус</t>
        </is>
      </c>
      <c r="D55" s="68" t="inlineStr">
        <is>
          <t>Комментарий</t>
        </is>
      </c>
      <c r="E55" s="55" t="n"/>
    </row>
    <row r="56">
      <c r="B56" s="63" t="inlineStr">
        <is>
          <t>Средний чек платного билета</t>
        </is>
      </c>
      <c r="C56" s="63">
        <f>IF(AND(C44&gt;=300,C44&lt;=1600),"в норме","проверить")</f>
        <v/>
      </c>
      <c r="D56" s="69">
        <f>IF(AND(C44&gt;=300,C44&lt;=1600),"норма 300–1600 ₽","вне нормы 300–1600 ₽")</f>
        <v/>
      </c>
      <c r="E56" s="55" t="n"/>
    </row>
    <row r="57">
      <c r="B57" s="63" t="inlineStr">
        <is>
          <t>Доля бесплатных билетов</t>
        </is>
      </c>
      <c r="C57" s="63">
        <f>IF(C19&lt;=0.3,"в норме","проверить")</f>
        <v/>
      </c>
      <c r="D57" s="69">
        <f>"порог 30%"</f>
        <v/>
      </c>
      <c r="E57" s="55" t="n"/>
    </row>
    <row r="58">
      <c r="B58" s="63" t="inlineStr">
        <is>
          <t>Заполняемость арены (регулярка)</t>
        </is>
      </c>
      <c r="C58" s="63">
        <f>IF(C30&lt;=1.05,"в норме","проверить")</f>
        <v/>
      </c>
      <c r="D58" s="69">
        <f>"при вместимости "&amp;TEXT($H$2,"#,##0")</f>
        <v/>
      </c>
      <c r="E58" s="55" t="n"/>
    </row>
    <row r="59">
      <c r="B59" s="63" t="inlineStr">
        <is>
          <t>Стоимость абонемента</t>
        </is>
      </c>
      <c r="C59" s="63">
        <f>IF(AND(C39&gt;=3000,C39&lt;=150000),"в норме","проверить")</f>
        <v/>
      </c>
      <c r="D59" s="69">
        <f>"доход абон. / число владельцев"</f>
        <v/>
      </c>
      <c r="E59" s="55" t="n"/>
    </row>
    <row r="60">
      <c r="B60" s="63" t="inlineStr">
        <is>
          <t>Средняя цена платного билета (сезон)</t>
        </is>
      </c>
      <c r="C60" s="63">
        <f>IF(AND(C44&gt;=300,C44&lt;=1600),"в норме","проверить")</f>
        <v/>
      </c>
      <c r="D60" s="69">
        <f>"норма 300–1600 ₽"</f>
        <v/>
      </c>
      <c r="E60" s="55" t="n"/>
    </row>
    <row r="61">
      <c r="B61" s="54" t="n"/>
      <c r="C61" s="54" t="n"/>
      <c r="D61" s="54" t="n"/>
      <c r="E61" s="55" t="n"/>
    </row>
    <row r="62">
      <c r="B62" s="63" t="inlineStr">
        <is>
          <t>Матчи плей-офф</t>
        </is>
      </c>
      <c r="C62" s="63">
        <f>COUNT('Реализованные билеты'!A40:A49)</f>
        <v/>
      </c>
      <c r="D62" s="54" t="n"/>
      <c r="E62" s="55" t="n"/>
    </row>
    <row r="63">
      <c r="B63" s="54" t="n"/>
      <c r="C63" s="54" t="n"/>
      <c r="D63" s="54" t="n"/>
      <c r="E63" s="55" t="n"/>
    </row>
    <row r="64">
      <c r="B64" s="69" t="inlineStr">
        <is>
          <t>Значения рассчитаны формулами со ссылками на исходные листы; метрики пересчитываются автоматически при изменении данных.</t>
        </is>
      </c>
      <c r="C64" s="54" t="n"/>
      <c r="D64" s="54" t="n"/>
      <c r="E64" s="5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Garkunov, Yuriy</dc:creator>
  <dcterms:created xmlns:dcterms="http://purl.org/dc/terms/" xmlns:xsi="http://www.w3.org/2001/XMLSchema-instance" xsi:type="dcterms:W3CDTF">2022-04-20T14:47:10Z</dcterms:created>
  <dcterms:modified xmlns:dcterms="http://purl.org/dc/terms/" xmlns:xsi="http://www.w3.org/2001/XMLSchema-instance" xsi:type="dcterms:W3CDTF">2026-08-01T19:38:35Z</dcterms:modified>
  <cp:lastModifiedBy>Сафиуллин Айрат Альбертович</cp:lastModifiedBy>
  <cp:lastPrinted>2024-05-08T06:53:09Z</cp:lastPrinted>
</cp:coreProperties>
</file>